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otech-my.sharepoint.com/personal/cody_landtroop_rotech_com/Documents/"/>
    </mc:Choice>
  </mc:AlternateContent>
  <xr:revisionPtr revIDLastSave="5" documentId="8_{E3F73F8C-36EA-4F3E-89DF-CB18069D36A6}" xr6:coauthVersionLast="47" xr6:coauthVersionMax="47" xr10:uidLastSave="{0D752FB8-8C47-4183-A373-B04EA5E07182}"/>
  <bookViews>
    <workbookView xWindow="28680" yWindow="-120" windowWidth="29040" windowHeight="16440" tabRatio="693" activeTab="1" xr2:uid="{110B70BF-C1A0-4E83-AB41-14F0FE06A71B}"/>
  </bookViews>
  <sheets>
    <sheet name="Instructions" sheetId="5" r:id="rId1"/>
    <sheet name="JC427 Personnel Records Review" sheetId="1" r:id="rId2"/>
    <sheet name="Additional Page - 2" sheetId="6" r:id="rId3"/>
    <sheet name="Additional Page - 3" sheetId="7" r:id="rId4"/>
    <sheet name="Additional Page - 4" sheetId="8" r:id="rId5"/>
    <sheet name="Formula" sheetId="4" state="hidden" r:id="rId6"/>
  </sheets>
  <definedNames>
    <definedName name="Job_Descriptions">Formula!$A$2:$A$11</definedName>
    <definedName name="_xlnm.Print_Area" localSheetId="1">'JC427 Personnel Records Review'!$A$1:$N$74</definedName>
    <definedName name="_xlnm.Print_Titles" localSheetId="2">'Additional Page - 2'!$1:$7</definedName>
    <definedName name="_xlnm.Print_Titles" localSheetId="3">'Additional Page - 3'!$1:$7</definedName>
    <definedName name="_xlnm.Print_Titles" localSheetId="4">'Additional Page - 4'!$1:$7</definedName>
    <definedName name="_xlnm.Print_Titles" localSheetId="1">'JC427 Personnel Records Review'!$A:$A,'JC427 Personnel Records Review'!$1:$7</definedName>
    <definedName name="Response">Formula!$B$2:$B$4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8" l="1"/>
  <c r="M26" i="8"/>
  <c r="M25" i="8"/>
  <c r="M24" i="8"/>
  <c r="M22" i="8"/>
  <c r="M20" i="8"/>
  <c r="M19" i="8"/>
  <c r="M17" i="8"/>
  <c r="M15" i="8"/>
  <c r="M14" i="8"/>
  <c r="M13" i="8"/>
  <c r="M12" i="8"/>
  <c r="M11" i="8"/>
  <c r="M10" i="8"/>
  <c r="M27" i="7"/>
  <c r="M26" i="7"/>
  <c r="M25" i="7"/>
  <c r="M24" i="7"/>
  <c r="M22" i="7"/>
  <c r="M20" i="7"/>
  <c r="M19" i="7"/>
  <c r="M17" i="7"/>
  <c r="M15" i="7"/>
  <c r="M14" i="7"/>
  <c r="M13" i="7"/>
  <c r="M12" i="7"/>
  <c r="M11" i="7"/>
  <c r="M10" i="7"/>
  <c r="M27" i="6"/>
  <c r="M26" i="6"/>
  <c r="M25" i="6"/>
  <c r="M24" i="6"/>
  <c r="M22" i="6"/>
  <c r="M20" i="6"/>
  <c r="M19" i="6"/>
  <c r="M17" i="6"/>
  <c r="M15" i="6"/>
  <c r="M14" i="6"/>
  <c r="M13" i="6"/>
  <c r="M12" i="6"/>
  <c r="M11" i="6"/>
  <c r="M10" i="6"/>
  <c r="M27" i="1"/>
  <c r="M26" i="1"/>
  <c r="M25" i="1"/>
  <c r="M24" i="1"/>
  <c r="M22" i="1"/>
  <c r="M20" i="1"/>
  <c r="M19" i="1"/>
  <c r="M17" i="1"/>
  <c r="M15" i="1"/>
  <c r="M14" i="1"/>
  <c r="M13" i="1"/>
  <c r="M12" i="1"/>
  <c r="M11" i="1"/>
  <c r="M10" i="1"/>
</calcChain>
</file>

<file path=xl/sharedStrings.xml><?xml version="1.0" encoding="utf-8"?>
<sst xmlns="http://schemas.openxmlformats.org/spreadsheetml/2006/main" count="499" uniqueCount="112">
  <si>
    <t>Job Title</t>
  </si>
  <si>
    <t>Hire Date</t>
  </si>
  <si>
    <t>RC</t>
  </si>
  <si>
    <t>Professional Licensure</t>
  </si>
  <si>
    <t>Total</t>
  </si>
  <si>
    <t>Driver's License</t>
  </si>
  <si>
    <t>Medical Record</t>
  </si>
  <si>
    <t>Personnel Record</t>
  </si>
  <si>
    <t>Job Descriptions</t>
  </si>
  <si>
    <t>CSR</t>
  </si>
  <si>
    <t>PST</t>
  </si>
  <si>
    <t>CDL</t>
  </si>
  <si>
    <t>SR</t>
  </si>
  <si>
    <t>Response</t>
  </si>
  <si>
    <t>Y</t>
  </si>
  <si>
    <t>N</t>
  </si>
  <si>
    <t>NA</t>
  </si>
  <si>
    <t>Employee</t>
  </si>
  <si>
    <t>Date:</t>
  </si>
  <si>
    <t>Reviewer:</t>
  </si>
  <si>
    <t>Location #:</t>
  </si>
  <si>
    <t>Comments</t>
  </si>
  <si>
    <t>Employee Performance Review</t>
  </si>
  <si>
    <t>City/State:</t>
  </si>
  <si>
    <t>CST</t>
  </si>
  <si>
    <t xml:space="preserve">AffloVest </t>
  </si>
  <si>
    <t xml:space="preserve">Astral Ventilator </t>
  </si>
  <si>
    <t xml:space="preserve">Attention to Detail </t>
  </si>
  <si>
    <t>Infant Monitor</t>
  </si>
  <si>
    <t xml:space="preserve">LTV Ventilator </t>
  </si>
  <si>
    <t xml:space="preserve">Pediatric Ventilator Management </t>
  </si>
  <si>
    <t xml:space="preserve">Pulse Oximetry </t>
  </si>
  <si>
    <t xml:space="preserve">Respiratory Assist Device </t>
  </si>
  <si>
    <t>LCM/LSM</t>
  </si>
  <si>
    <t>DM</t>
  </si>
  <si>
    <t>CPAP &amp; BIPAP</t>
  </si>
  <si>
    <t>Nebulizer</t>
  </si>
  <si>
    <t>Oxygen</t>
  </si>
  <si>
    <t>Oxygen Conserving Device</t>
  </si>
  <si>
    <t xml:space="preserve">Job Description </t>
  </si>
  <si>
    <t xml:space="preserve">Manufacturing Facility Orientation (FDA 021) </t>
  </si>
  <si>
    <t>PAP Device (SE 811)</t>
  </si>
  <si>
    <t>PAP Mask Fitting (SE 851)</t>
  </si>
  <si>
    <t>High Pressure Cylinder (SE 805)</t>
  </si>
  <si>
    <t>Hospital Bed &amp; Trapeze (SE 807)</t>
  </si>
  <si>
    <t>Liquid Oxygen (SE 809)</t>
  </si>
  <si>
    <t>Lymphedema Pump (SE 856)</t>
  </si>
  <si>
    <t>Nebulizer (SE 812)</t>
  </si>
  <si>
    <t>Oxygen Analyzer (SE 801)</t>
  </si>
  <si>
    <t>Oxygen Concentrator (SE 803)</t>
  </si>
  <si>
    <t>Patient Lift (SE 818)</t>
  </si>
  <si>
    <t>Power Wheelchair (SE 862)</t>
  </si>
  <si>
    <t>Scooter (SE 863)</t>
  </si>
  <si>
    <t>Warehouse Equipment Cleaning (SE 855)</t>
  </si>
  <si>
    <t>Clinical Competency Assessment (CCA) Online Trainings:</t>
  </si>
  <si>
    <t>PERSONNEL RECORDS REVIEW</t>
  </si>
  <si>
    <t>Negative Pressure Wound Care System (SE 903)</t>
  </si>
  <si>
    <t>Oxygen Conserving Device (SE 814)</t>
  </si>
  <si>
    <t>Wheelchair (SE 824)</t>
  </si>
  <si>
    <t>Invasive Ventilator</t>
  </si>
  <si>
    <t>Luisa Ventilator</t>
  </si>
  <si>
    <t>Other:</t>
  </si>
  <si>
    <t>Mandatory Annual In-Services (SE 800)</t>
  </si>
  <si>
    <t>Confirmation of Medical Clearance for Respirator Use from 3M for initial fit testing after 2/1/2022</t>
  </si>
  <si>
    <t xml:space="preserve">Required for ALL location employees at time of hire and every 3 years.
</t>
  </si>
  <si>
    <t>Airvo 2</t>
  </si>
  <si>
    <t>General Orientation (HR 548)</t>
  </si>
  <si>
    <t>Policy Acknowledgment / Computer Password Confidentiality</t>
  </si>
  <si>
    <t xml:space="preserve">Non-Clinical Competency Assessments </t>
  </si>
  <si>
    <t>Breas VIVO 45LS/50 Ventilator</t>
  </si>
  <si>
    <t>Mouthpiece Ventilation (MPV)</t>
  </si>
  <si>
    <t xml:space="preserve">Oxygen Concentrator Maintenance </t>
  </si>
  <si>
    <t>Continuous Passive Motion - CPM (SE 904)</t>
  </si>
  <si>
    <r>
      <t xml:space="preserve">Date ONLY
</t>
    </r>
    <r>
      <rPr>
        <b/>
        <i/>
        <sz val="8"/>
        <rFont val="Calibri"/>
        <family val="2"/>
      </rPr>
      <t>(blank if NA)</t>
    </r>
  </si>
  <si>
    <t>Annual N95 Mask Fit Testing Completed for "at risk" employees (date only; blank if NA)</t>
  </si>
  <si>
    <t>Required for all "at risk" employees (PST, CST and RT) at hire and annually.</t>
  </si>
  <si>
    <t>Aspirator / Suction (SE 816)</t>
  </si>
  <si>
    <t>Requires certificate only</t>
  </si>
  <si>
    <t>TB Test/Risk Assessment:
•  KY at hire &amp; annually - Test and Risk Assessment
    •  Complete KY 641 annually
•  IL, MD, NC and PA at hire only - Test
•  WA at hire &amp; annually - Test &amp; Risk Assessment
    •  Complete WA 641 annually</t>
  </si>
  <si>
    <t>Print from ICIMs.</t>
  </si>
  <si>
    <t>Storage and Distribution Training (FDA 019)
ENTER DATE ONLY  (Initial &amp; every 3 years)</t>
  </si>
  <si>
    <t>RM 1234 Hazard Communication Program Training Record with RM 1238 PPE Hazard Assessment attached (Job description specific)</t>
  </si>
  <si>
    <t xml:space="preserve">Training </t>
  </si>
  <si>
    <t>Performance Review</t>
  </si>
  <si>
    <t>Must have copy of current license for all clinicians</t>
  </si>
  <si>
    <t xml:space="preserve">Review all policies on HR 548 with employee.  Date and initial policies/processes as they are reviewed.  Once completed, employee and manager must sign and date. </t>
  </si>
  <si>
    <t>SE 800 is required annually for all employees.</t>
  </si>
  <si>
    <t>Print employee reviews.  Be sure employee has signed off on review (Green check mark on bottom of last page).</t>
  </si>
  <si>
    <t>Medical Clearance documentation is required prior to fit testing</t>
  </si>
  <si>
    <t>MEDICAL INFORMATION MUST BE KEPT IN SEPARATE FILE</t>
  </si>
  <si>
    <t xml:space="preserve">Printing New Hire Documents from ICIMs
•  Click on the Employee
•  Click on Forms
•  Click on Download - two boxes pop up with arrows in between them.
</t>
  </si>
  <si>
    <t xml:space="preserve">Must have a copy of "Okay to hire" email.  Check LCM and AM email
If email cannot be located: 
Check ICIMs
- Search by Requisition the employee was hired under
- Email (May have to go to "More")
- Shares (These are emails that have been sent to hiring managers)
- Look for "Cleared for hire" or "Welcome" email - print email for employee file
If email cannot be located in ICIMs, answer "N".
</t>
  </si>
  <si>
    <t>Hepatitis B Test or OP 515 Hepatitis B Vaccination Statement</t>
  </si>
  <si>
    <t xml:space="preserve">Print from ICIMs - If employee accepts, must have proof of vaccination. If employee no longer wants vaccine, a new form (OP 515) must be signed, refusing the vaccine series.  </t>
  </si>
  <si>
    <r>
      <t xml:space="preserve">Employees MUST complete online competencies, pertaining to their job responsibilities, on Docebo:  My Training Not Completed - or use search tool 
</t>
    </r>
    <r>
      <rPr>
        <b/>
        <sz val="12"/>
        <color indexed="10"/>
        <rFont val="Calibri"/>
        <family val="2"/>
      </rPr>
      <t xml:space="preserve">Completed Competency Assessment (SE form) and certificate are to be placed in employee file </t>
    </r>
  </si>
  <si>
    <r>
      <t xml:space="preserve">Clinicians MUST complete online competencies, pertaining to their job responsibilities, on Docebo:  My Training Not Completed - or use search tool 
</t>
    </r>
    <r>
      <rPr>
        <b/>
        <sz val="12"/>
        <color indexed="10"/>
        <rFont val="Calibri"/>
        <family val="2"/>
      </rPr>
      <t xml:space="preserve">Completed certificates are to be placed in employee file </t>
    </r>
  </si>
  <si>
    <t xml:space="preserve">
•  KY employees must have TB test and risk assessment at hire &amp; annually 
    •  Complete KY 641 annually
•  IL, MD, NC and PA employees must have TB test at hire 
•  WA employees must have TB test and risk assessment at hire &amp; annually 
    •  Complete WA 641 annually</t>
  </si>
  <si>
    <r>
      <t xml:space="preserve">Employees MUST complete online competencies, pertaining to their job responsibilities, on Docebo:  My Training Not Completed - or use search tool 
</t>
    </r>
    <r>
      <rPr>
        <b/>
        <sz val="12"/>
        <color indexed="60"/>
        <rFont val="Calibri"/>
        <family val="2"/>
      </rPr>
      <t xml:space="preserve">Completed Competency Assessment (SE form) and certificate are to be placed in employee file </t>
    </r>
  </si>
  <si>
    <r>
      <t xml:space="preserve">Clinicians MUST complete online competencies, pertaining to their job responsibilities, on Docebo:  My Training Not Completed - or use search tool 
</t>
    </r>
    <r>
      <rPr>
        <b/>
        <sz val="12"/>
        <color indexed="60"/>
        <rFont val="Calibri"/>
        <family val="2"/>
      </rPr>
      <t xml:space="preserve">Completed certificates are to be placed in employee file </t>
    </r>
  </si>
  <si>
    <r>
      <t xml:space="preserve">Storage and Distribution Training (FDA 019)
</t>
    </r>
    <r>
      <rPr>
        <b/>
        <sz val="11"/>
        <color indexed="60"/>
        <rFont val="Calibri"/>
        <family val="2"/>
      </rPr>
      <t>ENTER DATE ONLY</t>
    </r>
    <r>
      <rPr>
        <sz val="11"/>
        <rFont val="Calibri"/>
        <family val="2"/>
      </rPr>
      <t xml:space="preserve">  (Initial &amp; every 3 years)</t>
    </r>
  </si>
  <si>
    <t>NON-CLINICAL COMPETENCIES ARE NOT REQUIRED FOR CLINICIANS</t>
  </si>
  <si>
    <t>ALL employees MUST have a Personnel file and a SEPARATE Medical File
Employees transfilling or curbside filling liquid oxygen MUST have a SEPARATE FDA File</t>
  </si>
  <si>
    <t>VOCSN Ventilator (based on location)</t>
  </si>
  <si>
    <t>VIVO2 - BiPAP ST</t>
  </si>
  <si>
    <t xml:space="preserve">General Orientation (HR 548) </t>
  </si>
  <si>
    <t>Cough Assist (BiWaze)</t>
  </si>
  <si>
    <r>
      <t xml:space="preserve">Only for those locations manufacturing liquid oxygen </t>
    </r>
    <r>
      <rPr>
        <b/>
        <sz val="10"/>
        <rFont val="Calibri"/>
        <family val="2"/>
      </rPr>
      <t>(curbside filling)</t>
    </r>
  </si>
  <si>
    <r>
      <t xml:space="preserve">Welcome to Rotech (Okay to Hire) Email </t>
    </r>
    <r>
      <rPr>
        <b/>
        <sz val="11"/>
        <rFont val="Calibri"/>
        <family val="2"/>
      </rPr>
      <t>(applicable to employees hired after 2017)</t>
    </r>
  </si>
  <si>
    <t>Field POC Repair &amp; Maintenance Competency</t>
  </si>
  <si>
    <t>Virtual Ventilator Visit</t>
  </si>
  <si>
    <t>Only for those locations manufacturing liquid oxygen (curbside filling)</t>
  </si>
  <si>
    <t>Trilogy EVO Ventilator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</si>
</sst>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1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b/>
      <sz val="8"/>
      <color indexed="9"/>
      <name val="Calibri"/>
      <family val="2"/>
    </font>
    <font>
      <sz val="8"/>
      <color indexed="9"/>
      <name val="Calibri"/>
      <family val="2"/>
    </font>
    <font>
      <b/>
      <sz val="10"/>
      <name val="Calibri"/>
      <family val="2"/>
    </font>
    <font>
      <b/>
      <sz val="12"/>
      <color indexed="9"/>
      <name val="Calibri"/>
      <family val="2"/>
    </font>
    <font>
      <sz val="10"/>
      <name val="Calibri"/>
      <family val="2"/>
    </font>
    <font>
      <sz val="12"/>
      <color indexed="9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8"/>
      <color indexed="10"/>
      <name val="Arial"/>
      <family val="2"/>
    </font>
    <font>
      <b/>
      <sz val="14"/>
      <color indexed="9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2"/>
      <name val="Arial"/>
      <family val="2"/>
    </font>
    <font>
      <b/>
      <sz val="8"/>
      <name val="Calibri"/>
      <family val="2"/>
    </font>
    <font>
      <b/>
      <i/>
      <sz val="8"/>
      <name val="Calibri"/>
      <family val="2"/>
    </font>
    <font>
      <b/>
      <sz val="12"/>
      <color indexed="60"/>
      <name val="Calibri"/>
      <family val="2"/>
    </font>
    <font>
      <b/>
      <sz val="12"/>
      <color indexed="10"/>
      <name val="Calibri"/>
      <family val="2"/>
    </font>
    <font>
      <b/>
      <sz val="11"/>
      <color indexed="60"/>
      <name val="Calibri"/>
      <family val="2"/>
    </font>
    <font>
      <b/>
      <sz val="10"/>
      <name val="Calibri"/>
      <family val="2"/>
      <scheme val="minor"/>
    </font>
    <font>
      <b/>
      <sz val="12"/>
      <color rgb="FFC00000"/>
      <name val="Calibri"/>
      <family val="2"/>
    </font>
    <font>
      <b/>
      <sz val="14"/>
      <color rgb="FFFF0000"/>
      <name val="Calibri"/>
      <family val="2"/>
    </font>
    <font>
      <b/>
      <sz val="14"/>
      <color rgb="FFC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6" fillId="0" borderId="0"/>
  </cellStyleXfs>
  <cellXfs count="154">
    <xf numFmtId="0" fontId="0" fillId="0" borderId="0" xfId="0"/>
    <xf numFmtId="0" fontId="3" fillId="0" borderId="0" xfId="0" applyFont="1"/>
    <xf numFmtId="0" fontId="7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7" fillId="2" borderId="6" xfId="0" applyFont="1" applyFill="1" applyBorder="1"/>
    <xf numFmtId="0" fontId="12" fillId="0" borderId="7" xfId="0" applyFont="1" applyBorder="1" applyAlignment="1" applyProtection="1">
      <alignment horizontal="center" textRotation="90"/>
      <protection locked="0"/>
    </xf>
    <xf numFmtId="0" fontId="8" fillId="5" borderId="8" xfId="0" applyFont="1" applyFill="1" applyBorder="1" applyAlignment="1">
      <alignment horizontal="left" wrapText="1"/>
    </xf>
    <xf numFmtId="0" fontId="12" fillId="0" borderId="9" xfId="0" applyFont="1" applyBorder="1" applyAlignment="1" applyProtection="1">
      <alignment horizontal="center" textRotation="90"/>
      <protection locked="0"/>
    </xf>
    <xf numFmtId="0" fontId="2" fillId="0" borderId="0" xfId="0" applyFont="1" applyAlignment="1">
      <alignment horizontal="center"/>
    </xf>
    <xf numFmtId="0" fontId="12" fillId="6" borderId="9" xfId="0" applyFont="1" applyFill="1" applyBorder="1" applyAlignment="1">
      <alignment horizontal="right"/>
    </xf>
    <xf numFmtId="0" fontId="12" fillId="6" borderId="10" xfId="0" applyFont="1" applyFill="1" applyBorder="1" applyAlignment="1">
      <alignment horizontal="right"/>
    </xf>
    <xf numFmtId="0" fontId="12" fillId="6" borderId="8" xfId="0" applyFont="1" applyFill="1" applyBorder="1" applyAlignment="1">
      <alignment horizontal="right"/>
    </xf>
    <xf numFmtId="0" fontId="6" fillId="6" borderId="11" xfId="0" applyFont="1" applyFill="1" applyBorder="1" applyAlignment="1">
      <alignment horizontal="center" textRotation="90"/>
    </xf>
    <xf numFmtId="0" fontId="3" fillId="0" borderId="0" xfId="0" applyFont="1" applyAlignment="1">
      <alignment horizontal="center" textRotation="90" wrapText="1"/>
    </xf>
    <xf numFmtId="0" fontId="2" fillId="0" borderId="0" xfId="0" applyFont="1" applyAlignment="1">
      <alignment horizontal="center" textRotation="90"/>
    </xf>
    <xf numFmtId="0" fontId="13" fillId="6" borderId="9" xfId="0" applyFont="1" applyFill="1" applyBorder="1" applyAlignment="1">
      <alignment horizontal="right" vertical="center" textRotation="90"/>
    </xf>
    <xf numFmtId="0" fontId="3" fillId="6" borderId="10" xfId="0" applyFont="1" applyFill="1" applyBorder="1" applyAlignment="1">
      <alignment horizontal="center" textRotation="90"/>
    </xf>
    <xf numFmtId="0" fontId="2" fillId="6" borderId="11" xfId="0" applyFont="1" applyFill="1" applyBorder="1" applyAlignment="1">
      <alignment horizontal="center"/>
    </xf>
    <xf numFmtId="0" fontId="13" fillId="0" borderId="9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0" fontId="19" fillId="5" borderId="9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4" fontId="14" fillId="0" borderId="0" xfId="0" applyNumberFormat="1" applyFont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5" fillId="6" borderId="11" xfId="0" applyFont="1" applyFill="1" applyBorder="1" applyAlignment="1">
      <alignment horizontal="center" wrapText="1"/>
    </xf>
    <xf numFmtId="0" fontId="12" fillId="0" borderId="7" xfId="0" applyFont="1" applyBorder="1" applyAlignment="1">
      <alignment horizontal="right" vertical="center"/>
    </xf>
    <xf numFmtId="14" fontId="12" fillId="4" borderId="7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12" fillId="4" borderId="7" xfId="0" applyFont="1" applyFill="1" applyBorder="1" applyAlignment="1" applyProtection="1">
      <alignment horizontal="left" vertical="center"/>
      <protection locked="0"/>
    </xf>
    <xf numFmtId="164" fontId="12" fillId="0" borderId="13" xfId="0" applyNumberFormat="1" applyFont="1" applyBorder="1" applyAlignment="1" applyProtection="1">
      <alignment horizontal="center" vertical="center"/>
      <protection locked="0"/>
    </xf>
    <xf numFmtId="0" fontId="9" fillId="6" borderId="14" xfId="0" applyFont="1" applyFill="1" applyBorder="1" applyAlignment="1">
      <alignment horizontal="left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16" fillId="5" borderId="8" xfId="0" applyFont="1" applyFill="1" applyBorder="1" applyAlignment="1">
      <alignment horizontal="left" vertical="center" wrapText="1"/>
    </xf>
    <xf numFmtId="0" fontId="19" fillId="5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vertical="center"/>
    </xf>
    <xf numFmtId="0" fontId="19" fillId="5" borderId="10" xfId="0" applyFont="1" applyFill="1" applyBorder="1" applyAlignment="1">
      <alignment horizontal="center" vertical="center" wrapText="1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7" borderId="7" xfId="0" applyFont="1" applyFill="1" applyBorder="1" applyAlignment="1">
      <alignment horizontal="center" vertical="center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>
      <alignment horizontal="right" vertical="center"/>
    </xf>
    <xf numFmtId="0" fontId="13" fillId="0" borderId="9" xfId="0" applyFont="1" applyBorder="1" applyAlignment="1">
      <alignment horizontal="right" vertical="center" wrapText="1"/>
    </xf>
    <xf numFmtId="0" fontId="13" fillId="0" borderId="16" xfId="0" applyFont="1" applyBorder="1" applyAlignment="1">
      <alignment horizontal="right" vertical="center"/>
    </xf>
    <xf numFmtId="0" fontId="13" fillId="0" borderId="9" xfId="0" applyFont="1" applyBorder="1" applyAlignment="1">
      <alignment horizontal="left" vertical="center" indent="1"/>
    </xf>
    <xf numFmtId="0" fontId="13" fillId="0" borderId="17" xfId="0" applyFont="1" applyBorder="1" applyAlignment="1">
      <alignment horizontal="left" vertical="center" indent="1"/>
    </xf>
    <xf numFmtId="0" fontId="13" fillId="8" borderId="9" xfId="0" applyFont="1" applyFill="1" applyBorder="1" applyAlignment="1">
      <alignment horizontal="left" vertical="center" indent="1"/>
    </xf>
    <xf numFmtId="0" fontId="9" fillId="6" borderId="17" xfId="0" applyFont="1" applyFill="1" applyBorder="1" applyAlignment="1">
      <alignment horizontal="right"/>
    </xf>
    <xf numFmtId="0" fontId="12" fillId="0" borderId="8" xfId="0" applyFont="1" applyBorder="1" applyAlignment="1" applyProtection="1">
      <alignment horizontal="center" textRotation="90"/>
      <protection locked="0"/>
    </xf>
    <xf numFmtId="164" fontId="12" fillId="0" borderId="18" xfId="0" applyNumberFormat="1" applyFont="1" applyBorder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0" fontId="12" fillId="6" borderId="0" xfId="0" applyFont="1" applyFill="1" applyAlignment="1">
      <alignment horizontal="right"/>
    </xf>
    <xf numFmtId="0" fontId="12" fillId="7" borderId="13" xfId="0" applyFont="1" applyFill="1" applyBorder="1" applyAlignment="1">
      <alignment horizontal="right"/>
    </xf>
    <xf numFmtId="0" fontId="12" fillId="7" borderId="11" xfId="0" applyFont="1" applyFill="1" applyBorder="1" applyAlignment="1">
      <alignment horizontal="right"/>
    </xf>
    <xf numFmtId="0" fontId="12" fillId="7" borderId="16" xfId="0" applyFont="1" applyFill="1" applyBorder="1" applyAlignment="1">
      <alignment horizontal="right"/>
    </xf>
    <xf numFmtId="0" fontId="8" fillId="0" borderId="7" xfId="0" applyFont="1" applyBorder="1" applyAlignment="1">
      <alignment horizontal="center" textRotation="90"/>
    </xf>
    <xf numFmtId="0" fontId="3" fillId="6" borderId="8" xfId="0" applyFont="1" applyFill="1" applyBorder="1" applyAlignment="1">
      <alignment horizontal="center" textRotation="90"/>
    </xf>
    <xf numFmtId="0" fontId="11" fillId="6" borderId="13" xfId="0" applyFont="1" applyFill="1" applyBorder="1" applyAlignment="1">
      <alignment horizontal="center" wrapText="1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2" fillId="7" borderId="13" xfId="0" applyFont="1" applyFill="1" applyBorder="1" applyAlignment="1">
      <alignment horizontal="center" vertical="center"/>
    </xf>
    <xf numFmtId="0" fontId="10" fillId="0" borderId="18" xfId="0" applyFont="1" applyBorder="1" applyAlignment="1" applyProtection="1">
      <alignment horizontal="left" vertical="center" wrapText="1"/>
      <protection locked="0"/>
    </xf>
    <xf numFmtId="0" fontId="13" fillId="0" borderId="17" xfId="0" applyFont="1" applyBorder="1" applyAlignment="1">
      <alignment horizontal="left" vertical="center" wrapText="1" indent="1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19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2" fillId="7" borderId="19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wrapText="1"/>
    </xf>
    <xf numFmtId="0" fontId="12" fillId="5" borderId="10" xfId="0" applyFont="1" applyFill="1" applyBorder="1" applyAlignment="1">
      <alignment horizontal="center"/>
    </xf>
    <xf numFmtId="0" fontId="13" fillId="0" borderId="16" xfId="0" applyFont="1" applyBorder="1" applyAlignment="1">
      <alignment horizontal="left" vertical="center" wrapText="1" indent="1"/>
    </xf>
    <xf numFmtId="0" fontId="13" fillId="0" borderId="9" xfId="0" applyFont="1" applyBorder="1" applyAlignment="1" applyProtection="1">
      <alignment horizontal="left" vertical="center" indent="1"/>
      <protection locked="0"/>
    </xf>
    <xf numFmtId="0" fontId="1" fillId="6" borderId="11" xfId="0" applyFont="1" applyFill="1" applyBorder="1"/>
    <xf numFmtId="0" fontId="10" fillId="0" borderId="14" xfId="0" applyFont="1" applyBorder="1" applyAlignment="1" applyProtection="1">
      <alignment horizontal="left" vertical="center" wrapText="1"/>
      <protection locked="0"/>
    </xf>
    <xf numFmtId="0" fontId="10" fillId="8" borderId="8" xfId="0" applyFont="1" applyFill="1" applyBorder="1" applyAlignment="1" applyProtection="1">
      <alignment horizontal="left" vertical="center" wrapText="1"/>
      <protection locked="0"/>
    </xf>
    <xf numFmtId="0" fontId="10" fillId="8" borderId="19" xfId="0" applyFont="1" applyFill="1" applyBorder="1" applyAlignment="1" applyProtection="1">
      <alignment horizontal="left" vertical="center" wrapText="1"/>
      <protection locked="0"/>
    </xf>
    <xf numFmtId="0" fontId="10" fillId="8" borderId="7" xfId="0" applyFont="1" applyFill="1" applyBorder="1" applyAlignment="1" applyProtection="1">
      <alignment horizontal="left" vertical="center" wrapText="1"/>
      <protection locked="0"/>
    </xf>
    <xf numFmtId="0" fontId="17" fillId="5" borderId="7" xfId="0" applyFont="1" applyFill="1" applyBorder="1"/>
    <xf numFmtId="0" fontId="27" fillId="5" borderId="7" xfId="0" applyFont="1" applyFill="1" applyBorder="1" applyAlignment="1">
      <alignment horizontal="left" wrapText="1"/>
    </xf>
    <xf numFmtId="0" fontId="20" fillId="5" borderId="7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textRotation="90"/>
    </xf>
    <xf numFmtId="0" fontId="4" fillId="6" borderId="12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 wrapText="1"/>
    </xf>
    <xf numFmtId="0" fontId="22" fillId="6" borderId="11" xfId="0" applyFont="1" applyFill="1" applyBorder="1" applyAlignment="1">
      <alignment horizontal="center" textRotation="90"/>
    </xf>
    <xf numFmtId="0" fontId="17" fillId="6" borderId="11" xfId="0" applyFont="1" applyFill="1" applyBorder="1"/>
    <xf numFmtId="0" fontId="1" fillId="6" borderId="15" xfId="0" applyFont="1" applyFill="1" applyBorder="1"/>
    <xf numFmtId="0" fontId="16" fillId="6" borderId="11" xfId="0" applyFont="1" applyFill="1" applyBorder="1"/>
    <xf numFmtId="0" fontId="1" fillId="6" borderId="11" xfId="0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 indent="1"/>
    </xf>
    <xf numFmtId="0" fontId="10" fillId="0" borderId="8" xfId="0" applyFont="1" applyBorder="1" applyAlignment="1" applyProtection="1">
      <alignment horizontal="left" vertical="top" wrapText="1"/>
      <protection locked="0"/>
    </xf>
    <xf numFmtId="0" fontId="13" fillId="0" borderId="1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9" fillId="6" borderId="17" xfId="0" applyFont="1" applyFill="1" applyBorder="1" applyAlignment="1">
      <alignment horizontal="right" wrapText="1"/>
    </xf>
    <xf numFmtId="0" fontId="3" fillId="0" borderId="0" xfId="0" applyFont="1" applyAlignment="1">
      <alignment horizontal="center" wrapText="1"/>
    </xf>
    <xf numFmtId="0" fontId="28" fillId="5" borderId="9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/>
    </xf>
    <xf numFmtId="0" fontId="29" fillId="0" borderId="7" xfId="0" applyFont="1" applyBorder="1" applyAlignment="1">
      <alignment vertical="center" wrapText="1"/>
    </xf>
    <xf numFmtId="0" fontId="20" fillId="0" borderId="7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7" xfId="0" applyFont="1" applyBorder="1" applyAlignment="1">
      <alignment vertical="center" wrapText="1"/>
    </xf>
    <xf numFmtId="0" fontId="20" fillId="8" borderId="9" xfId="0" applyFont="1" applyFill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0" fontId="22" fillId="0" borderId="0" xfId="0" applyFont="1" applyAlignment="1">
      <alignment horizontal="center" wrapText="1"/>
    </xf>
    <xf numFmtId="0" fontId="12" fillId="7" borderId="15" xfId="0" applyFont="1" applyFill="1" applyBorder="1" applyAlignment="1">
      <alignment horizontal="right"/>
    </xf>
    <xf numFmtId="0" fontId="11" fillId="6" borderId="13" xfId="0" applyFont="1" applyFill="1" applyBorder="1" applyAlignment="1">
      <alignment horizontal="center"/>
    </xf>
    <xf numFmtId="0" fontId="19" fillId="5" borderId="14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wrapText="1"/>
    </xf>
    <xf numFmtId="0" fontId="10" fillId="0" borderId="19" xfId="0" applyFont="1" applyBorder="1" applyAlignment="1">
      <alignment horizontal="left" textRotation="90"/>
    </xf>
    <xf numFmtId="0" fontId="0" fillId="0" borderId="20" xfId="0" applyBorder="1"/>
    <xf numFmtId="0" fontId="13" fillId="0" borderId="13" xfId="0" applyFont="1" applyBorder="1" applyAlignment="1">
      <alignment vertical="top" wrapText="1"/>
    </xf>
    <xf numFmtId="0" fontId="13" fillId="0" borderId="13" xfId="0" applyFont="1" applyBorder="1" applyAlignment="1">
      <alignment horizontal="left" vertical="center" wrapText="1"/>
    </xf>
    <xf numFmtId="0" fontId="13" fillId="0" borderId="7" xfId="0" applyFont="1" applyBorder="1" applyAlignment="1">
      <alignment vertical="center" wrapText="1"/>
    </xf>
    <xf numFmtId="0" fontId="13" fillId="0" borderId="19" xfId="0" applyFont="1" applyBorder="1" applyAlignment="1">
      <alignment horizontal="left" vertical="center" wrapText="1"/>
    </xf>
    <xf numFmtId="0" fontId="30" fillId="9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right" wrapText="1"/>
    </xf>
    <xf numFmtId="0" fontId="18" fillId="6" borderId="11" xfId="0" applyFont="1" applyFill="1" applyBorder="1"/>
    <xf numFmtId="14" fontId="19" fillId="0" borderId="8" xfId="0" applyNumberFormat="1" applyFont="1" applyBorder="1" applyAlignment="1" applyProtection="1">
      <alignment horizontal="center" vertical="center"/>
      <protection locked="0"/>
    </xf>
    <xf numFmtId="0" fontId="13" fillId="8" borderId="9" xfId="0" applyFont="1" applyFill="1" applyBorder="1" applyAlignment="1" applyProtection="1">
      <alignment horizontal="left" vertical="center" indent="1"/>
      <protection locked="0"/>
    </xf>
    <xf numFmtId="14" fontId="12" fillId="8" borderId="7" xfId="0" applyNumberFormat="1" applyFont="1" applyFill="1" applyBorder="1" applyAlignment="1" applyProtection="1">
      <alignment horizontal="center" vertical="center"/>
      <protection locked="0"/>
    </xf>
    <xf numFmtId="0" fontId="2" fillId="8" borderId="0" xfId="0" applyFont="1" applyFill="1" applyAlignment="1">
      <alignment horizontal="center"/>
    </xf>
    <xf numFmtId="0" fontId="19" fillId="10" borderId="7" xfId="0" applyFont="1" applyFill="1" applyBorder="1" applyAlignment="1">
      <alignment horizontal="left" vertical="center" wrapText="1"/>
    </xf>
    <xf numFmtId="0" fontId="19" fillId="10" borderId="9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 applyProtection="1">
      <alignment horizontal="left" vertical="center" wrapText="1"/>
      <protection locked="0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0" borderId="18" xfId="0" applyFont="1" applyBorder="1" applyAlignment="1">
      <alignment horizontal="right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12" fillId="0" borderId="9" xfId="0" applyFont="1" applyBorder="1" applyAlignment="1" applyProtection="1">
      <alignment horizontal="left" vertical="center"/>
      <protection locked="0"/>
    </xf>
    <xf numFmtId="0" fontId="12" fillId="0" borderId="10" xfId="0" applyFont="1" applyBorder="1" applyAlignment="1" applyProtection="1">
      <alignment horizontal="left" vertical="center"/>
      <protection locked="0"/>
    </xf>
    <xf numFmtId="0" fontId="12" fillId="0" borderId="8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30" fillId="9" borderId="9" xfId="0" applyFont="1" applyFill="1" applyBorder="1" applyAlignment="1">
      <alignment horizontal="center" vertical="top" wrapText="1"/>
    </xf>
    <xf numFmtId="0" fontId="30" fillId="9" borderId="10" xfId="0" applyFont="1" applyFill="1" applyBorder="1" applyAlignment="1">
      <alignment horizontal="center" vertical="top" wrapText="1"/>
    </xf>
    <xf numFmtId="0" fontId="30" fillId="9" borderId="8" xfId="0" applyFont="1" applyFill="1" applyBorder="1" applyAlignment="1">
      <alignment horizontal="center" vertical="top" wrapText="1"/>
    </xf>
    <xf numFmtId="0" fontId="29" fillId="9" borderId="13" xfId="0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293F15D-C8EC-475B-B967-122EAA00ACD0}"/>
  </cellStyles>
  <dxfs count="121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theme="0" tint="-0.1499679555650502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lor rgb="FFC00000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theme="0" tint="-0.1499679555650502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lor rgb="FFC00000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theme="0" tint="-0.1499679555650502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lor rgb="FFC00000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theme="0" tint="-0.14996795556505021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3"/>
        </patternFill>
      </fill>
    </dxf>
    <dxf>
      <fill>
        <patternFill>
          <bgColor theme="0" tint="-0.14996795556505021"/>
        </patternFill>
      </fill>
    </dxf>
    <dxf>
      <font>
        <color rgb="FFC00000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lor rgb="FFC00000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C00000"/>
      </font>
    </dxf>
    <dxf>
      <font>
        <condense val="0"/>
        <extend val="0"/>
        <color auto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4</xdr:row>
      <xdr:rowOff>9525</xdr:rowOff>
    </xdr:from>
    <xdr:to>
      <xdr:col>2</xdr:col>
      <xdr:colOff>8439150</xdr:colOff>
      <xdr:row>7</xdr:row>
      <xdr:rowOff>1009650</xdr:rowOff>
    </xdr:to>
    <xdr:pic>
      <xdr:nvPicPr>
        <xdr:cNvPr id="2450" name="Picture 3">
          <a:extLst>
            <a:ext uri="{FF2B5EF4-FFF2-40B4-BE49-F238E27FC236}">
              <a16:creationId xmlns:a16="http://schemas.microsoft.com/office/drawing/2014/main" id="{07D54D1E-B63E-193C-31B7-359DA4D09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4438650"/>
          <a:ext cx="8410575" cy="3038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447675</xdr:colOff>
      <xdr:row>2</xdr:row>
      <xdr:rowOff>466725</xdr:rowOff>
    </xdr:to>
    <xdr:sp macro="" textlink="">
      <xdr:nvSpPr>
        <xdr:cNvPr id="2451" name="AutoShape 9" descr="https://attachments.office.net/owa/tasmith%40rotech.com/service.svc/s/GetAttachmentThumbnail?id=AAkALgAAAAAAHYQDEapmEc2byACqAC%2FEWg0AE6l5j2kv4UK3LeJFWQiEAAACvdDcPQAAARIAEABBImVnzGBCTrxoyThwllQ6&amp;thumbnailType=2&amp;token=eyJhbGciOiJSUzI1NiIsInR5cCI6IkpXVCIsImtpZCI6IjMvZjBUak41WVgwN3JRTXlwY1dlcjZlNkRFMD0iLCJ4NXQiOiIzL2YwVGpONVlYMDdyUU15cGNXZXI2ZTZERTA9Iiwibm9uY2UiOiJIdlBYdm03dUlwcFdKTUMzeEhjMFNXSEk5ZmcybGdveld6bnlpN1JfRmZIY1hsU1ZIX2VlTlBNQVRlWEx0Q3FYSmhFQlA4cEgwdDdvZFIzSGlOd0tUMEt6dHBMc3pfTTk1Vm54MUxnLXpVVXRUNFByTWR2eTJTZm13LWtDTG55eU9XcGYyMkVsQk1XYmpjZ2FxN0NxdkNFbmpQN1Y1VDdkeThycUFablFJYzQiLCJpc3Nsb2MiOiJTQTFQUjIyTUI1NDE1Iiwic3JzbiI6NjM4ODEzNzkwOTgxNDQxNzc3fQ.eyJzYXAtdmVyc2lvbiI6IjMxIiwiYXBwaWQiOiJhZjNlYmJiYS1jMjNmLTQ5MmEtYWE5My04MzQyMTY5NmVjNGIiLCJpc3NyaW5nIjoiV1ciLCJhcHBpZGFjciI6IjIiLCJhcHBfZGlzcGxheW5hbWUiOiIiLCJ1dGkiOiI1ZDQ1NGYzMi00NjI4LTRlZTQtODE0Ny1mYTQwZjIyMzM1MGUiLCJpYXQiOjE3NDU5ODk2MDEsInZlciI6IlNUSS5Vc2VyLkNhbGxiYWNrVG9rZW4uVjEiLCJ0aWQiOiIwMGJmNDY3Nzk1OTY0MGNlYmJlNmY1NDdjM2Y2MmNiZiIsInRydXN0ZWRmb3JkZWxlZ2F0aW9uIjoiZmFsc2UiLCJ0b3BvbG9neSI6IntcIlR5cGVcIjpcIk1hY2hpbmVcIixcIlZhbHVlXCI6XCJTQTFQUjIyTUI1NDE1Lm5hbXByZDIyLnByb2Qub3V0bG9vay5jb21cIn0iLCJyZXF1ZXN0b3JfYXBwaWQiOiIxNTdjZGZiZi03Mzk4LTRhNTYtOTZjMy1lOTNlOWFiMzA5YjUiLCJyZXF1ZXN0b3JfYXBwX2Rpc3BsYXluYW1lIjoiT2ZmaWNlIDM2NSBFeGNoYW5nZSBNaWNyb3NlcnZpY2UiLCJzY3AiOiJPd2FBdHRhY2htZW50cy5SZWFkIiwib2lkIjoiMmVjYjdhYjktNzg2ZS00OGNjLWJlMTEtNzAzYzk4NmJjNmZmIiwicHVpZCI6IjEwMDMyMDAxRkQ4RDE4QzAiLCJzbXRwIjoidGFzbWl0aEByb3RlY2guY29tIiwidXBuIjoidGFzbWl0aEByb3RlY2guY29tIiwidXNlcmNhbGxiYWNrdXNlcmNvbnRleHRpZCI6ImI2YjM4MjZhMDkzZjRlOTQ4ZDY5N2Q0YWM3NGFmZjdjIiwiZXBrIjoie1wia3R5XCI6XCJSU0FcIixcIm5cIjpcInB3M3FPNDFTb1hrVDZqV3R0Y1dSZlhDYWFydFBzbnlySFB1QUNHZG9nSnllRnB5Y1RCdEx2ZGpldTMyMnRDTVFJNGZCOENEbXg0blp6Vnl5Q1hfZFd1YlpEa0RGWUVOa2VQMTVhbUsyQ2liVlJlNW9MMkozVlJNQ01VTWxmblV0YjBmUkZCNTNxd0twdzY2b2JGNEhNNklQZHpqUzhFckVhY1gxRkdpX0JKWGpBVi1Gb3djV1lHbHhaclNmUnRyV0xLV0ltXzl4VXoxa0FWSXJWQTd2S2g4NmZyZGVkelJSYVA2T29vaTFjN1lDdWoyV2FHV2FqYnBzUmxjS0hPVFJSRFhBM2d3THdCanNjcU1sMGVnZlEwNkY3cXl6SWk2c0dWT21GUms3TnFnb29qUVI0dVFscmVsTzVSdU1oeHQ0M1Z3bVFEbURtbG9lSW9adnE1N3ZmUVwiLFwiZVwiOlwiQVFBQlwiLFwiYWxnXCI6XCJSUzI1NlwiLFwiZXhwXCI6XCIxNzQ2MDc5MzY5XCIsXCJleHBfZGlmZlwiOlwiODY0MDBcIixcImtpZFwiOlwiSDhfRHQyNHByUVRFQ25xV1JqZlB5dkRlY3BNXCJ9LkdXcTNwZ0dmNllpekt1cUk4STRaMy84d0NNUHZJK3dhbXBua1BaeVpnUHpockNzeXRjRzhMQTRTa2g0aFFpN3pCaTVjOElnSDBGeEFTSEd1OHNyM2x6NW5XanZac2lkaVlhaVlUbE9HdUg1T0NkcWJZS0JlNEJkQUY2bjk3dTkrTTJkSHJHY2ZzQ1dsZEwzdjZ4RFMrRUxRZzVFbUpEOFZQY3VEWTFQc1Y2cS9ON0lmUTUrVXpaTmtteE4vYmp4Y21jcHllNW0xYXAyUjJyb0pmeDIrWjc3L3NoR0FZRnVGYWZNazcwZ2tmSFpCV2xRanJGYjJhMk14Y3BoR05GemdLWWQ1eS9RSFRYMDMyS0lVcXM2aGRyZ21OVzNaalptSUJlT281YjZtbWNabHljM0hHQUY3VGJjb0tKcUN1M2U1RytpTUFabVNCWkRvUEsvbTYzSkovQT09IiwibmJmIjoxNzQ1OTg5NjAxLCJleHAiOjE3NDU5ODk5MDEsImlzcyI6Imh0dHBzOi8vc3Vic3RyYXRlLm9mZmljZS5jb20vc3RzLyIsImF1ZCI6Imh0dHBzOi8vb3V0bG9vay5vZmZpY2UuY29tIiwic3NlYyI6IkU3amxVeGVlZkd3MWtyM2sifQ.JrQquZuWV3GSQR9GUEY8webM9E70ncLxJA36cMWSFXo8cBuAJ1BRLWIvgaFfFNEALh447mFGcfMiFeH61f8muTawM-4HOQEHr2EsUbEzbnNgKnmItO5J8_-cYftfMwY-EK0S2ub4jHt3TQJ82nJKBo_ZPfT7V6rnFGEXHQgZYZ0ECovjxLDjPUvQmMn0n063CMtEplctUu_xGsex7gfl6-wyv6LINQvFFEY1c8OXFI6aGD3kjfUZXIft7WH3ZHcJnoIREbAstQDaxbyhXbAyYSQDtF15WGCRXNKlOL5uqi3I41yCsOUpEk-z6fM-31I5QKPYeHSiP4-Dym2qbINfkQ&amp;X-OWA-CANARY=wTQ4TRrDp4IAAAAAAAAAAKAltgqjh90Y-3QCWnl6wjKF0p0RBFhLCkAy5uo7OURqxqb-C9uJlZc.&amp;owa=outlook.office.com&amp;scriptVer=20250418009.10&amp;clientId=3A3590FE7A0C444A9CB05FDD003BC5D6&amp;animation=true">
          <a:extLst>
            <a:ext uri="{FF2B5EF4-FFF2-40B4-BE49-F238E27FC236}">
              <a16:creationId xmlns:a16="http://schemas.microsoft.com/office/drawing/2014/main" id="{8ABD0D29-DCFF-F61A-8263-C9A5339EDC41}"/>
            </a:ext>
          </a:extLst>
        </xdr:cNvPr>
        <xdr:cNvSpPr>
          <a:spLocks noChangeAspect="1" noChangeArrowheads="1"/>
        </xdr:cNvSpPr>
      </xdr:nvSpPr>
      <xdr:spPr bwMode="auto">
        <a:xfrm>
          <a:off x="6981825" y="93345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447675</xdr:colOff>
      <xdr:row>2</xdr:row>
      <xdr:rowOff>466725</xdr:rowOff>
    </xdr:to>
    <xdr:sp macro="" textlink="">
      <xdr:nvSpPr>
        <xdr:cNvPr id="2452" name="AutoShape 10" descr="https://attachments.office.net/owa/tasmith%40rotech.com/service.svc/s/GetAttachmentThumbnail?id=AAkALgAAAAAAHYQDEapmEc2byACqAC%2FEWg0AE6l5j2kv4UK3LeJFWQiEAAACvdDcPQAAARIAEABBImVnzGBCTrxoyThwllQ6&amp;thumbnailType=2&amp;token=eyJhbGciOiJSUzI1NiIsInR5cCI6IkpXVCIsImtpZCI6IjMvZjBUak41WVgwN3JRTXlwY1dlcjZlNkRFMD0iLCJ4NXQiOiIzL2YwVGpONVlYMDdyUU15cGNXZXI2ZTZERTA9Iiwibm9uY2UiOiJIdlBYdm03dUlwcFdKTUMzeEhjMFNXSEk5ZmcybGdveld6bnlpN1JfRmZIY1hsU1ZIX2VlTlBNQVRlWEx0Q3FYSmhFQlA4cEgwdDdvZFIzSGlOd0tUMEt6dHBMc3pfTTk1Vm54MUxnLXpVVXRUNFByTWR2eTJTZm13LWtDTG55eU9XcGYyMkVsQk1XYmpjZ2FxN0NxdkNFbmpQN1Y1VDdkeThycUFablFJYzQiLCJpc3Nsb2MiOiJTQTFQUjIyTUI1NDE1Iiwic3JzbiI6NjM4ODEzNzkwOTgxNDQxNzc3fQ.eyJzYXAtdmVyc2lvbiI6IjMxIiwiYXBwaWQiOiJhZjNlYmJiYS1jMjNmLTQ5MmEtYWE5My04MzQyMTY5NmVjNGIiLCJpc3NyaW5nIjoiV1ciLCJhcHBpZGFjciI6IjIiLCJhcHBfZGlzcGxheW5hbWUiOiIiLCJ1dGkiOiI1ZDQ1NGYzMi00NjI4LTRlZTQtODE0Ny1mYTQwZjIyMzM1MGUiLCJpYXQiOjE3NDU5ODk2MDEsInZlciI6IlNUSS5Vc2VyLkNhbGxiYWNrVG9rZW4uVjEiLCJ0aWQiOiIwMGJmNDY3Nzk1OTY0MGNlYmJlNmY1NDdjM2Y2MmNiZiIsInRydXN0ZWRmb3JkZWxlZ2F0aW9uIjoiZmFsc2UiLCJ0b3BvbG9neSI6IntcIlR5cGVcIjpcIk1hY2hpbmVcIixcIlZhbHVlXCI6XCJTQTFQUjIyTUI1NDE1Lm5hbXByZDIyLnByb2Qub3V0bG9vay5jb21cIn0iLCJyZXF1ZXN0b3JfYXBwaWQiOiIxNTdjZGZiZi03Mzk4LTRhNTYtOTZjMy1lOTNlOWFiMzA5YjUiLCJyZXF1ZXN0b3JfYXBwX2Rpc3BsYXluYW1lIjoiT2ZmaWNlIDM2NSBFeGNoYW5nZSBNaWNyb3NlcnZpY2UiLCJzY3AiOiJPd2FBdHRhY2htZW50cy5SZWFkIiwib2lkIjoiMmVjYjdhYjktNzg2ZS00OGNjLWJlMTEtNzAzYzk4NmJjNmZmIiwicHVpZCI6IjEwMDMyMDAxRkQ4RDE4QzAiLCJzbXRwIjoidGFzbWl0aEByb3RlY2guY29tIiwidXBuIjoidGFzbWl0aEByb3RlY2guY29tIiwidXNlcmNhbGxiYWNrdXNlcmNvbnRleHRpZCI6ImI2YjM4MjZhMDkzZjRlOTQ4ZDY5N2Q0YWM3NGFmZjdjIiwiZXBrIjoie1wia3R5XCI6XCJSU0FcIixcIm5cIjpcInB3M3FPNDFTb1hrVDZqV3R0Y1dSZlhDYWFydFBzbnlySFB1QUNHZG9nSnllRnB5Y1RCdEx2ZGpldTMyMnRDTVFJNGZCOENEbXg0blp6Vnl5Q1hfZFd1YlpEa0RGWUVOa2VQMTVhbUsyQ2liVlJlNW9MMkozVlJNQ01VTWxmblV0YjBmUkZCNTNxd0twdzY2b2JGNEhNNklQZHpqUzhFckVhY1gxRkdpX0JKWGpBVi1Gb3djV1lHbHhaclNmUnRyV0xLV0ltXzl4VXoxa0FWSXJWQTd2S2g4NmZyZGVkelJSYVA2T29vaTFjN1lDdWoyV2FHV2FqYnBzUmxjS0hPVFJSRFhBM2d3THdCanNjcU1sMGVnZlEwNkY3cXl6SWk2c0dWT21GUms3TnFnb29qUVI0dVFscmVsTzVSdU1oeHQ0M1Z3bVFEbURtbG9lSW9adnE1N3ZmUVwiLFwiZVwiOlwiQVFBQlwiLFwiYWxnXCI6XCJSUzI1NlwiLFwiZXhwXCI6XCIxNzQ2MDc5MzY5XCIsXCJleHBfZGlmZlwiOlwiODY0MDBcIixcImtpZFwiOlwiSDhfRHQyNHByUVRFQ25xV1JqZlB5dkRlY3BNXCJ9LkdXcTNwZ0dmNllpekt1cUk4STRaMy84d0NNUHZJK3dhbXBua1BaeVpnUHpockNzeXRjRzhMQTRTa2g0aFFpN3pCaTVjOElnSDBGeEFTSEd1OHNyM2x6NW5XanZac2lkaVlhaVlUbE9HdUg1T0NkcWJZS0JlNEJkQUY2bjk3dTkrTTJkSHJHY2ZzQ1dsZEwzdjZ4RFMrRUxRZzVFbUpEOFZQY3VEWTFQc1Y2cS9ON0lmUTUrVXpaTmtteE4vYmp4Y21jcHllNW0xYXAyUjJyb0pmeDIrWjc3L3NoR0FZRnVGYWZNazcwZ2tmSFpCV2xRanJGYjJhMk14Y3BoR05GemdLWWQ1eS9RSFRYMDMyS0lVcXM2aGRyZ21OVzNaalptSUJlT281YjZtbWNabHljM0hHQUY3VGJjb0tKcUN1M2U1RytpTUFabVNCWkRvUEsvbTYzSkovQT09IiwibmJmIjoxNzQ1OTg5NjAxLCJleHAiOjE3NDU5ODk5MDEsImlzcyI6Imh0dHBzOi8vc3Vic3RyYXRlLm9mZmljZS5jb20vc3RzLyIsImF1ZCI6Imh0dHBzOi8vb3V0bG9vay5vZmZpY2UuY29tIiwic3NlYyI6IkU3amxVeGVlZkd3MWtyM2sifQ.JrQquZuWV3GSQR9GUEY8webM9E70ncLxJA36cMWSFXo8cBuAJ1BRLWIvgaFfFNEALh447mFGcfMiFeH61f8muTawM-4HOQEHr2EsUbEzbnNgKnmItO5J8_-cYftfMwY-EK0S2ub4jHt3TQJ82nJKBo_ZPfT7V6rnFGEXHQgZYZ0ECovjxLDjPUvQmMn0n063CMtEplctUu_xGsex7gfl6-wyv6LINQvFFEY1c8OXFI6aGD3kjfUZXIft7WH3ZHcJnoIREbAstQDaxbyhXbAyYSQDtF15WGCRXNKlOL5uqi3I41yCsOUpEk-z6fM-31I5QKPYeHSiP4-Dym2qbINfkQ&amp;X-OWA-CANARY=wTQ4TRrDp4IAAAAAAAAAAKAltgqjh90Y-3QCWnl6wjKF0p0RBFhLCkAy5uo7OURqxqb-C9uJlZc.&amp;owa=outlook.office.com&amp;scriptVer=20250418009.10&amp;clientId=3A3590FE7A0C444A9CB05FDD003BC5D6&amp;animation=true">
          <a:extLst>
            <a:ext uri="{FF2B5EF4-FFF2-40B4-BE49-F238E27FC236}">
              <a16:creationId xmlns:a16="http://schemas.microsoft.com/office/drawing/2014/main" id="{B178279E-42F9-FD38-7090-EE3C28A0E2FA}"/>
            </a:ext>
          </a:extLst>
        </xdr:cNvPr>
        <xdr:cNvSpPr>
          <a:spLocks noChangeAspect="1" noChangeArrowheads="1"/>
        </xdr:cNvSpPr>
      </xdr:nvSpPr>
      <xdr:spPr bwMode="auto">
        <a:xfrm>
          <a:off x="6981825" y="933450"/>
          <a:ext cx="4476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390525</xdr:colOff>
      <xdr:row>2</xdr:row>
      <xdr:rowOff>66675</xdr:rowOff>
    </xdr:from>
    <xdr:to>
      <xdr:col>2</xdr:col>
      <xdr:colOff>9448800</xdr:colOff>
      <xdr:row>2</xdr:row>
      <xdr:rowOff>4057650</xdr:rowOff>
    </xdr:to>
    <xdr:pic>
      <xdr:nvPicPr>
        <xdr:cNvPr id="2453" name="Picture 3">
          <a:extLst>
            <a:ext uri="{FF2B5EF4-FFF2-40B4-BE49-F238E27FC236}">
              <a16:creationId xmlns:a16="http://schemas.microsoft.com/office/drawing/2014/main" id="{E0C1923A-A848-490C-698A-2976F7AA0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000125"/>
          <a:ext cx="9058275" cy="266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DCB0-0485-442D-AF29-FE1F5C9D1CA9}">
  <sheetPr>
    <pageSetUpPr fitToPage="1"/>
  </sheetPr>
  <dimension ref="A1:C66"/>
  <sheetViews>
    <sheetView workbookViewId="0">
      <selection activeCell="A62" sqref="A62"/>
    </sheetView>
  </sheetViews>
  <sheetFormatPr defaultColWidth="8.7109375" defaultRowHeight="12.75" x14ac:dyDescent="0.2"/>
  <cols>
    <col min="1" max="1" width="44.140625" style="27" customWidth="1"/>
    <col min="2" max="2" width="60.5703125" style="112" customWidth="1"/>
    <col min="3" max="3" width="141.7109375" style="101" customWidth="1"/>
    <col min="4" max="4" width="52.85546875" customWidth="1"/>
  </cols>
  <sheetData>
    <row r="1" spans="1:3" ht="57.95" customHeight="1" x14ac:dyDescent="0.2">
      <c r="A1" s="149" t="s">
        <v>101</v>
      </c>
      <c r="B1" s="150"/>
      <c r="C1" s="151"/>
    </row>
    <row r="2" spans="1:3" ht="15.75" x14ac:dyDescent="0.2">
      <c r="A2" s="42" t="s">
        <v>7</v>
      </c>
      <c r="B2" s="24"/>
      <c r="C2" s="85"/>
    </row>
    <row r="3" spans="1:3" ht="215.45" customHeight="1" x14ac:dyDescent="0.2">
      <c r="A3" s="68" t="s">
        <v>107</v>
      </c>
      <c r="B3" s="105" t="s">
        <v>91</v>
      </c>
      <c r="C3" s="118"/>
    </row>
    <row r="4" spans="1:3" ht="60" customHeight="1" x14ac:dyDescent="0.2">
      <c r="A4" s="96" t="s">
        <v>39</v>
      </c>
      <c r="B4" s="106" t="s">
        <v>79</v>
      </c>
      <c r="C4" s="119" t="s">
        <v>90</v>
      </c>
    </row>
    <row r="5" spans="1:3" ht="60" customHeight="1" x14ac:dyDescent="0.2">
      <c r="A5" s="97" t="s">
        <v>66</v>
      </c>
      <c r="B5" s="107" t="s">
        <v>85</v>
      </c>
      <c r="C5" s="147"/>
    </row>
    <row r="6" spans="1:3" ht="60" customHeight="1" x14ac:dyDescent="0.2">
      <c r="A6" s="97" t="s">
        <v>3</v>
      </c>
      <c r="B6" s="107" t="s">
        <v>84</v>
      </c>
      <c r="C6" s="147"/>
    </row>
    <row r="7" spans="1:3" ht="60" customHeight="1" x14ac:dyDescent="0.2">
      <c r="A7" s="97" t="s">
        <v>5</v>
      </c>
      <c r="B7" s="107" t="s">
        <v>64</v>
      </c>
      <c r="C7" s="147"/>
    </row>
    <row r="8" spans="1:3" ht="60" customHeight="1" x14ac:dyDescent="0.2">
      <c r="A8" s="97" t="s">
        <v>67</v>
      </c>
      <c r="B8" s="107" t="s">
        <v>79</v>
      </c>
      <c r="C8" s="148"/>
    </row>
    <row r="9" spans="1:3" ht="15.75" x14ac:dyDescent="0.2">
      <c r="A9" s="24" t="s">
        <v>82</v>
      </c>
      <c r="B9" s="24"/>
      <c r="C9" s="85"/>
    </row>
    <row r="10" spans="1:3" ht="15" x14ac:dyDescent="0.2">
      <c r="A10" s="98" t="s">
        <v>62</v>
      </c>
      <c r="B10" s="108" t="s">
        <v>86</v>
      </c>
      <c r="C10" s="120"/>
    </row>
    <row r="11" spans="1:3" ht="60" x14ac:dyDescent="0.2">
      <c r="A11" s="98" t="s">
        <v>80</v>
      </c>
      <c r="B11" s="108" t="s">
        <v>64</v>
      </c>
      <c r="C11" s="120"/>
    </row>
    <row r="12" spans="1:3" ht="15" x14ac:dyDescent="0.2">
      <c r="A12" s="98" t="s">
        <v>40</v>
      </c>
      <c r="B12" s="133" t="s">
        <v>110</v>
      </c>
      <c r="C12" s="120"/>
    </row>
    <row r="13" spans="1:3" ht="45" x14ac:dyDescent="0.2">
      <c r="A13" s="97" t="s">
        <v>81</v>
      </c>
      <c r="B13" s="107"/>
      <c r="C13" s="121"/>
    </row>
    <row r="14" spans="1:3" ht="15.75" x14ac:dyDescent="0.2">
      <c r="A14" s="24" t="s">
        <v>83</v>
      </c>
      <c r="B14" s="24"/>
      <c r="C14" s="85"/>
    </row>
    <row r="15" spans="1:3" ht="30" x14ac:dyDescent="0.2">
      <c r="A15" s="103" t="s">
        <v>22</v>
      </c>
      <c r="B15" s="106" t="s">
        <v>87</v>
      </c>
      <c r="C15" s="122"/>
    </row>
    <row r="16" spans="1:3" ht="15.75" x14ac:dyDescent="0.2">
      <c r="A16" s="24" t="s">
        <v>6</v>
      </c>
      <c r="B16" s="102"/>
      <c r="C16" s="85"/>
    </row>
    <row r="17" spans="1:3" ht="45" x14ac:dyDescent="0.2">
      <c r="A17" s="96" t="s">
        <v>92</v>
      </c>
      <c r="B17" s="106" t="s">
        <v>93</v>
      </c>
      <c r="C17" s="123" t="s">
        <v>89</v>
      </c>
    </row>
    <row r="18" spans="1:3" ht="120" x14ac:dyDescent="0.2">
      <c r="A18" s="98" t="s">
        <v>78</v>
      </c>
      <c r="B18" s="108" t="s">
        <v>96</v>
      </c>
      <c r="C18" s="120"/>
    </row>
    <row r="19" spans="1:3" ht="30" x14ac:dyDescent="0.2">
      <c r="A19" s="98" t="s">
        <v>74</v>
      </c>
      <c r="B19" s="108" t="s">
        <v>75</v>
      </c>
      <c r="C19" s="120"/>
    </row>
    <row r="20" spans="1:3" ht="45" x14ac:dyDescent="0.2">
      <c r="A20" s="97" t="s">
        <v>63</v>
      </c>
      <c r="B20" s="107" t="s">
        <v>88</v>
      </c>
      <c r="C20" s="99"/>
    </row>
    <row r="21" spans="1:3" ht="78.75" x14ac:dyDescent="0.2">
      <c r="A21" s="24" t="s">
        <v>68</v>
      </c>
      <c r="B21" s="24" t="s">
        <v>94</v>
      </c>
      <c r="C21" s="85"/>
    </row>
    <row r="22" spans="1:3" ht="14.45" customHeight="1" x14ac:dyDescent="0.2">
      <c r="A22" s="51" t="s">
        <v>76</v>
      </c>
      <c r="B22" s="104"/>
      <c r="C22" s="152" t="s">
        <v>100</v>
      </c>
    </row>
    <row r="23" spans="1:3" ht="14.45" customHeight="1" x14ac:dyDescent="0.2">
      <c r="A23" s="53" t="s">
        <v>72</v>
      </c>
      <c r="B23" s="104"/>
      <c r="C23" s="153"/>
    </row>
    <row r="24" spans="1:3" ht="14.45" customHeight="1" x14ac:dyDescent="0.2">
      <c r="A24" s="51" t="s">
        <v>41</v>
      </c>
      <c r="B24" s="104"/>
      <c r="C24" s="153"/>
    </row>
    <row r="25" spans="1:3" ht="15" x14ac:dyDescent="0.2">
      <c r="A25" s="51" t="s">
        <v>42</v>
      </c>
      <c r="B25" s="109"/>
      <c r="C25" s="99"/>
    </row>
    <row r="26" spans="1:3" ht="15" x14ac:dyDescent="0.2">
      <c r="A26" s="51" t="s">
        <v>43</v>
      </c>
      <c r="B26" s="109"/>
      <c r="C26" s="99"/>
    </row>
    <row r="27" spans="1:3" ht="15" x14ac:dyDescent="0.2">
      <c r="A27" s="51" t="s">
        <v>44</v>
      </c>
      <c r="B27" s="109"/>
      <c r="C27" s="99"/>
    </row>
    <row r="28" spans="1:3" ht="15" x14ac:dyDescent="0.2">
      <c r="A28" s="51" t="s">
        <v>45</v>
      </c>
      <c r="B28" s="109"/>
      <c r="C28" s="99"/>
    </row>
    <row r="29" spans="1:3" ht="15" x14ac:dyDescent="0.2">
      <c r="A29" s="51" t="s">
        <v>46</v>
      </c>
      <c r="B29" s="107"/>
      <c r="C29" s="99"/>
    </row>
    <row r="30" spans="1:3" ht="15" x14ac:dyDescent="0.2">
      <c r="A30" s="51" t="s">
        <v>47</v>
      </c>
      <c r="B30" s="107"/>
      <c r="C30" s="99"/>
    </row>
    <row r="31" spans="1:3" ht="15" x14ac:dyDescent="0.2">
      <c r="A31" s="51" t="s">
        <v>56</v>
      </c>
      <c r="B31" s="107"/>
      <c r="C31" s="99"/>
    </row>
    <row r="32" spans="1:3" ht="15" x14ac:dyDescent="0.2">
      <c r="A32" s="51" t="s">
        <v>48</v>
      </c>
      <c r="B32" s="107"/>
      <c r="C32" s="99"/>
    </row>
    <row r="33" spans="1:3" ht="15" x14ac:dyDescent="0.2">
      <c r="A33" s="51" t="s">
        <v>49</v>
      </c>
      <c r="B33" s="107"/>
      <c r="C33" s="99"/>
    </row>
    <row r="34" spans="1:3" ht="15" x14ac:dyDescent="0.2">
      <c r="A34" s="22" t="s">
        <v>71</v>
      </c>
      <c r="B34" s="107" t="s">
        <v>77</v>
      </c>
      <c r="C34" s="99"/>
    </row>
    <row r="35" spans="1:3" ht="15" x14ac:dyDescent="0.2">
      <c r="A35" s="51" t="s">
        <v>57</v>
      </c>
      <c r="B35" s="107"/>
      <c r="C35" s="99"/>
    </row>
    <row r="36" spans="1:3" ht="15" x14ac:dyDescent="0.2">
      <c r="A36" s="51" t="s">
        <v>50</v>
      </c>
      <c r="B36" s="107"/>
      <c r="C36" s="99"/>
    </row>
    <row r="37" spans="1:3" ht="15" x14ac:dyDescent="0.2">
      <c r="A37" s="22" t="s">
        <v>108</v>
      </c>
      <c r="B37" s="107" t="s">
        <v>77</v>
      </c>
      <c r="C37" s="99"/>
    </row>
    <row r="38" spans="1:3" ht="15" x14ac:dyDescent="0.2">
      <c r="A38" s="51" t="s">
        <v>51</v>
      </c>
      <c r="B38" s="107"/>
      <c r="C38" s="99"/>
    </row>
    <row r="39" spans="1:3" ht="15" x14ac:dyDescent="0.2">
      <c r="A39" s="51" t="s">
        <v>52</v>
      </c>
      <c r="B39" s="107"/>
      <c r="C39" s="99"/>
    </row>
    <row r="40" spans="1:3" ht="15" x14ac:dyDescent="0.2">
      <c r="A40" s="22" t="s">
        <v>53</v>
      </c>
      <c r="B40" s="107"/>
      <c r="C40" s="99"/>
    </row>
    <row r="41" spans="1:3" ht="15" x14ac:dyDescent="0.2">
      <c r="A41" s="22" t="s">
        <v>58</v>
      </c>
      <c r="B41" s="107"/>
      <c r="C41" s="99"/>
    </row>
    <row r="42" spans="1:3" ht="63" x14ac:dyDescent="0.2">
      <c r="A42" s="85" t="s">
        <v>54</v>
      </c>
      <c r="B42" s="85" t="s">
        <v>95</v>
      </c>
      <c r="C42" s="85"/>
    </row>
    <row r="43" spans="1:3" ht="15" x14ac:dyDescent="0.2">
      <c r="A43" s="52" t="s">
        <v>25</v>
      </c>
      <c r="B43" s="106"/>
      <c r="C43" s="122"/>
    </row>
    <row r="44" spans="1:3" ht="15" x14ac:dyDescent="0.2">
      <c r="A44" s="51" t="s">
        <v>65</v>
      </c>
      <c r="B44" s="107"/>
      <c r="C44" s="99"/>
    </row>
    <row r="45" spans="1:3" ht="15" x14ac:dyDescent="0.2">
      <c r="A45" s="51" t="s">
        <v>26</v>
      </c>
      <c r="B45" s="107"/>
      <c r="C45" s="99"/>
    </row>
    <row r="46" spans="1:3" ht="15" x14ac:dyDescent="0.2">
      <c r="A46" s="53" t="s">
        <v>27</v>
      </c>
      <c r="B46" s="110"/>
      <c r="C46" s="124"/>
    </row>
    <row r="47" spans="1:3" ht="15" x14ac:dyDescent="0.2">
      <c r="A47" s="53" t="s">
        <v>69</v>
      </c>
      <c r="B47" s="110"/>
      <c r="C47" s="124"/>
    </row>
    <row r="48" spans="1:3" ht="15" x14ac:dyDescent="0.2">
      <c r="A48" s="51" t="s">
        <v>105</v>
      </c>
      <c r="B48" s="107"/>
      <c r="C48" s="99"/>
    </row>
    <row r="49" spans="1:3" ht="15" x14ac:dyDescent="0.2">
      <c r="A49" s="51" t="s">
        <v>35</v>
      </c>
      <c r="B49" s="107"/>
      <c r="C49" s="99"/>
    </row>
    <row r="50" spans="1:3" ht="15" x14ac:dyDescent="0.2">
      <c r="A50" s="94" t="s">
        <v>28</v>
      </c>
      <c r="B50" s="111"/>
      <c r="C50" s="99"/>
    </row>
    <row r="51" spans="1:3" ht="15" x14ac:dyDescent="0.2">
      <c r="A51" s="51" t="s">
        <v>59</v>
      </c>
      <c r="B51" s="107"/>
      <c r="C51" s="99"/>
    </row>
    <row r="52" spans="1:3" ht="15" x14ac:dyDescent="0.2">
      <c r="A52" s="51" t="s">
        <v>29</v>
      </c>
      <c r="B52" s="107"/>
      <c r="C52" s="99"/>
    </row>
    <row r="53" spans="1:3" ht="15" x14ac:dyDescent="0.2">
      <c r="A53" s="51" t="s">
        <v>60</v>
      </c>
      <c r="B53" s="107"/>
      <c r="C53" s="99"/>
    </row>
    <row r="54" spans="1:3" ht="15" x14ac:dyDescent="0.2">
      <c r="A54" s="51" t="s">
        <v>70</v>
      </c>
      <c r="B54" s="107"/>
      <c r="C54" s="99"/>
    </row>
    <row r="55" spans="1:3" ht="15" x14ac:dyDescent="0.2">
      <c r="A55" s="51" t="s">
        <v>36</v>
      </c>
      <c r="B55" s="107"/>
      <c r="C55" s="99"/>
    </row>
    <row r="56" spans="1:3" ht="15" x14ac:dyDescent="0.2">
      <c r="A56" s="51" t="s">
        <v>37</v>
      </c>
      <c r="B56" s="107"/>
      <c r="C56" s="99"/>
    </row>
    <row r="57" spans="1:3" ht="15" x14ac:dyDescent="0.2">
      <c r="A57" s="51" t="s">
        <v>38</v>
      </c>
      <c r="B57" s="107"/>
      <c r="C57" s="99"/>
    </row>
    <row r="58" spans="1:3" ht="15" x14ac:dyDescent="0.2">
      <c r="A58" s="22" t="s">
        <v>30</v>
      </c>
      <c r="B58" s="107"/>
      <c r="C58" s="99"/>
    </row>
    <row r="59" spans="1:3" ht="15" x14ac:dyDescent="0.2">
      <c r="A59" s="51" t="s">
        <v>31</v>
      </c>
      <c r="B59" s="107"/>
      <c r="C59" s="99"/>
    </row>
    <row r="60" spans="1:3" ht="15" x14ac:dyDescent="0.2">
      <c r="A60" s="51" t="s">
        <v>32</v>
      </c>
      <c r="B60" s="107"/>
      <c r="C60" s="99"/>
    </row>
    <row r="61" spans="1:3" ht="15" x14ac:dyDescent="0.2">
      <c r="A61" s="53" t="s">
        <v>102</v>
      </c>
      <c r="B61" s="107"/>
      <c r="C61" s="99"/>
    </row>
    <row r="62" spans="1:3" ht="15" x14ac:dyDescent="0.2">
      <c r="A62" s="76" t="s">
        <v>109</v>
      </c>
      <c r="B62" s="107"/>
      <c r="C62" s="99"/>
    </row>
    <row r="63" spans="1:3" ht="15" x14ac:dyDescent="0.2">
      <c r="A63" s="76" t="s">
        <v>103</v>
      </c>
      <c r="B63" s="110"/>
      <c r="C63" s="124"/>
    </row>
    <row r="64" spans="1:3" ht="15" x14ac:dyDescent="0.2">
      <c r="A64" s="76" t="s">
        <v>61</v>
      </c>
      <c r="B64" s="107"/>
      <c r="C64" s="99"/>
    </row>
    <row r="65" spans="1:3" ht="15" x14ac:dyDescent="0.2">
      <c r="A65" s="76" t="s">
        <v>61</v>
      </c>
      <c r="B65" s="107"/>
      <c r="C65" s="99"/>
    </row>
    <row r="66" spans="1:3" ht="15.75" x14ac:dyDescent="0.25">
      <c r="A66" s="54"/>
      <c r="B66" s="100"/>
      <c r="C66" s="125"/>
    </row>
  </sheetData>
  <sheetProtection selectLockedCells="1"/>
  <mergeCells count="3">
    <mergeCell ref="C5:C8"/>
    <mergeCell ref="A1:C1"/>
    <mergeCell ref="C22:C24"/>
  </mergeCells>
  <conditionalFormatting sqref="B12">
    <cfRule type="expression" dxfId="120" priority="1" stopIfTrue="1">
      <formula>A12&gt;0</formula>
    </cfRule>
  </conditionalFormatting>
  <dataValidations count="1">
    <dataValidation allowBlank="1" showInputMessage="1" showErrorMessage="1" sqref="B12" xr:uid="{248CE19A-088C-40FF-8D2F-3CA78C63D724}"/>
  </dataValidations>
  <printOptions horizontalCentered="1"/>
  <pageMargins left="0.5" right="0.5" top="0.5" bottom="0.5" header="0.3" footer="0.3"/>
  <pageSetup scale="43" fitToHeight="2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ED6F-836B-492A-A55F-348B19F096CF}">
  <sheetPr codeName="Sheet2">
    <tabColor theme="6" tint="-0.249977111117893"/>
    <pageSetUpPr fitToPage="1"/>
  </sheetPr>
  <dimension ref="A1:Q84"/>
  <sheetViews>
    <sheetView showGridLines="0" tabSelected="1" zoomScale="90" zoomScaleNormal="90" zoomScaleSheetLayoutView="75" workbookViewId="0">
      <selection activeCell="D5" sqref="D5"/>
    </sheetView>
  </sheetViews>
  <sheetFormatPr defaultRowHeight="11.25" x14ac:dyDescent="0.2"/>
  <cols>
    <col min="1" max="1" width="44.140625" style="27" customWidth="1"/>
    <col min="2" max="2" width="0.85546875" style="28" customWidth="1"/>
    <col min="3" max="5" width="11.5703125" style="28" customWidth="1"/>
    <col min="6" max="12" width="10.140625" style="28" bestFit="1" customWidth="1"/>
    <col min="13" max="13" width="10.5703125" style="27" customWidth="1"/>
    <col min="14" max="14" width="78.42578125" style="12" customWidth="1"/>
    <col min="15" max="16" width="7.42578125" style="12" bestFit="1" customWidth="1"/>
    <col min="17" max="17" width="3" style="12" bestFit="1" customWidth="1"/>
    <col min="18" max="18" width="13.140625" style="12" bestFit="1" customWidth="1"/>
    <col min="19" max="19" width="28.42578125" style="12" customWidth="1"/>
    <col min="20" max="16384" width="9.140625" style="12"/>
  </cols>
  <sheetData>
    <row r="1" spans="1:17" s="35" customFormat="1" ht="21.75" customHeight="1" x14ac:dyDescent="0.2">
      <c r="A1" s="134" t="s">
        <v>55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</row>
    <row r="2" spans="1:17" s="35" customFormat="1" ht="18.75" customHeight="1" x14ac:dyDescent="0.2">
      <c r="A2" s="137" t="s">
        <v>20</v>
      </c>
      <c r="B2" s="138"/>
      <c r="C2" s="141"/>
      <c r="D2" s="142"/>
      <c r="E2" s="142"/>
      <c r="F2" s="142"/>
      <c r="G2" s="142"/>
      <c r="H2" s="142"/>
      <c r="I2" s="142"/>
      <c r="J2" s="142"/>
      <c r="K2" s="142"/>
      <c r="L2" s="143"/>
      <c r="M2" s="33" t="s">
        <v>18</v>
      </c>
      <c r="N2" s="34"/>
    </row>
    <row r="3" spans="1:17" s="35" customFormat="1" ht="18.75" customHeight="1" x14ac:dyDescent="0.2">
      <c r="A3" s="139" t="s">
        <v>23</v>
      </c>
      <c r="B3" s="140"/>
      <c r="C3" s="144"/>
      <c r="D3" s="145"/>
      <c r="E3" s="145"/>
      <c r="F3" s="145"/>
      <c r="G3" s="145"/>
      <c r="H3" s="145"/>
      <c r="I3" s="145"/>
      <c r="J3" s="145"/>
      <c r="K3" s="145"/>
      <c r="L3" s="146"/>
      <c r="M3" s="33" t="s">
        <v>19</v>
      </c>
      <c r="N3" s="36"/>
    </row>
    <row r="4" spans="1:17" ht="5.45" customHeight="1" x14ac:dyDescent="0.25">
      <c r="A4" s="13"/>
      <c r="B4" s="5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7" s="18" customFormat="1" ht="110.25" customHeight="1" x14ac:dyDescent="0.25">
      <c r="A5" s="48" t="s">
        <v>17</v>
      </c>
      <c r="B5" s="16"/>
      <c r="C5" s="55"/>
      <c r="D5" s="9"/>
      <c r="E5" s="9"/>
      <c r="F5" s="9"/>
      <c r="G5" s="9"/>
      <c r="H5" s="9"/>
      <c r="I5" s="9"/>
      <c r="J5" s="9"/>
      <c r="K5" s="9"/>
      <c r="L5" s="11"/>
      <c r="M5" s="61"/>
      <c r="N5" s="62"/>
      <c r="O5" s="17"/>
      <c r="P5" s="17"/>
      <c r="Q5" s="17"/>
    </row>
    <row r="6" spans="1:17" s="18" customFormat="1" ht="5.45" customHeight="1" x14ac:dyDescent="0.25">
      <c r="A6" s="19"/>
      <c r="B6" s="86"/>
      <c r="C6" s="20"/>
      <c r="D6" s="20"/>
      <c r="E6" s="20"/>
      <c r="F6" s="20"/>
      <c r="G6" s="20"/>
      <c r="H6" s="20"/>
      <c r="I6" s="20"/>
      <c r="J6" s="20"/>
      <c r="K6" s="20"/>
      <c r="L6" s="63"/>
      <c r="M6" s="64"/>
      <c r="N6" s="114"/>
      <c r="O6" s="17"/>
      <c r="P6" s="17"/>
      <c r="Q6" s="17"/>
    </row>
    <row r="7" spans="1:17" ht="18.75" customHeight="1" x14ac:dyDescent="0.25">
      <c r="A7" s="49" t="s">
        <v>0</v>
      </c>
      <c r="B7" s="21"/>
      <c r="C7" s="45"/>
      <c r="D7" s="45"/>
      <c r="E7" s="45"/>
      <c r="F7" s="45"/>
      <c r="G7" s="45"/>
      <c r="H7" s="45"/>
      <c r="I7" s="45"/>
      <c r="J7" s="45"/>
      <c r="K7" s="45"/>
      <c r="L7" s="45"/>
      <c r="M7" s="61"/>
      <c r="N7" s="116"/>
    </row>
    <row r="8" spans="1:17" ht="18.75" customHeight="1" x14ac:dyDescent="0.25">
      <c r="A8" s="50" t="s">
        <v>1</v>
      </c>
      <c r="B8" s="21"/>
      <c r="C8" s="56"/>
      <c r="D8" s="37"/>
      <c r="E8" s="37"/>
      <c r="F8" s="37"/>
      <c r="G8" s="37"/>
      <c r="H8" s="37"/>
      <c r="I8" s="37"/>
      <c r="J8" s="37"/>
      <c r="K8" s="37"/>
      <c r="L8" s="37"/>
      <c r="M8" s="113"/>
      <c r="N8" s="117"/>
    </row>
    <row r="9" spans="1:17" s="35" customFormat="1" ht="18.600000000000001" customHeight="1" x14ac:dyDescent="0.2">
      <c r="A9" s="42" t="s">
        <v>7</v>
      </c>
      <c r="B9" s="93"/>
      <c r="C9" s="43"/>
      <c r="D9" s="43"/>
      <c r="E9" s="43"/>
      <c r="F9" s="43"/>
      <c r="G9" s="43"/>
      <c r="H9" s="43"/>
      <c r="I9" s="43"/>
      <c r="J9" s="43"/>
      <c r="K9" s="43"/>
      <c r="L9" s="43"/>
      <c r="M9" s="44" t="s">
        <v>4</v>
      </c>
      <c r="N9" s="115" t="s">
        <v>21</v>
      </c>
    </row>
    <row r="10" spans="1:17" ht="30" x14ac:dyDescent="0.2">
      <c r="A10" s="68" t="s">
        <v>107</v>
      </c>
      <c r="B10" s="7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2">
        <f t="shared" ref="M10:M15" si="0">COUNTIF((C10:L10),"N")</f>
        <v>0</v>
      </c>
      <c r="N10" s="78"/>
    </row>
    <row r="11" spans="1:17" ht="18.600000000000001" customHeight="1" x14ac:dyDescent="0.2">
      <c r="A11" s="68" t="s">
        <v>39</v>
      </c>
      <c r="B11" s="77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72">
        <f t="shared" si="0"/>
        <v>0</v>
      </c>
      <c r="N11" s="78"/>
    </row>
    <row r="12" spans="1:17" ht="25.5" customHeight="1" x14ac:dyDescent="0.2">
      <c r="A12" s="22" t="s">
        <v>104</v>
      </c>
      <c r="B12" s="77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46">
        <f t="shared" si="0"/>
        <v>0</v>
      </c>
      <c r="N12" s="40"/>
    </row>
    <row r="13" spans="1:17" ht="18.600000000000001" customHeight="1" x14ac:dyDescent="0.2">
      <c r="A13" s="22" t="s">
        <v>3</v>
      </c>
      <c r="B13" s="77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>
        <f t="shared" si="0"/>
        <v>0</v>
      </c>
      <c r="N13" s="40"/>
    </row>
    <row r="14" spans="1:17" ht="29.1" customHeight="1" x14ac:dyDescent="0.2">
      <c r="A14" s="22" t="s">
        <v>5</v>
      </c>
      <c r="B14" s="77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>
        <f t="shared" si="0"/>
        <v>0</v>
      </c>
      <c r="N14" s="95"/>
    </row>
    <row r="15" spans="1:17" ht="30" x14ac:dyDescent="0.2">
      <c r="A15" s="22" t="s">
        <v>67</v>
      </c>
      <c r="B15" s="77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46">
        <f t="shared" si="0"/>
        <v>0</v>
      </c>
      <c r="N15" s="40"/>
    </row>
    <row r="16" spans="1:17" ht="18.600000000000001" customHeight="1" x14ac:dyDescent="0.25">
      <c r="A16" s="24" t="s">
        <v>82</v>
      </c>
      <c r="B16" s="9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41"/>
    </row>
    <row r="17" spans="1:14" ht="15.75" x14ac:dyDescent="0.2">
      <c r="A17" s="75" t="s">
        <v>62</v>
      </c>
      <c r="B17" s="77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>
        <f>COUNTIF((C17:L17),"N")</f>
        <v>0</v>
      </c>
      <c r="N17" s="67"/>
    </row>
    <row r="18" spans="1:14" ht="30" x14ac:dyDescent="0.2">
      <c r="A18" s="75" t="s">
        <v>99</v>
      </c>
      <c r="B18" s="7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66"/>
      <c r="N18" s="95"/>
    </row>
    <row r="19" spans="1:14" ht="15.75" x14ac:dyDescent="0.2">
      <c r="A19" s="75" t="s">
        <v>40</v>
      </c>
      <c r="B19" s="77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6">
        <f>COUNTIF((C19:L19),"N")</f>
        <v>0</v>
      </c>
      <c r="N19" s="79" t="s">
        <v>106</v>
      </c>
    </row>
    <row r="20" spans="1:14" ht="55.5" customHeight="1" x14ac:dyDescent="0.2">
      <c r="A20" s="22" t="s">
        <v>81</v>
      </c>
      <c r="B20" s="77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46">
        <f>COUNTIF((C20:L20),"N")</f>
        <v>0</v>
      </c>
      <c r="N20" s="79"/>
    </row>
    <row r="21" spans="1:14" ht="18.600000000000001" customHeight="1" x14ac:dyDescent="0.25">
      <c r="A21" s="24" t="s">
        <v>83</v>
      </c>
      <c r="B21" s="92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41"/>
    </row>
    <row r="22" spans="1:14" ht="15.75" x14ac:dyDescent="0.2">
      <c r="A22" s="52" t="s">
        <v>22</v>
      </c>
      <c r="B22" s="91"/>
      <c r="C22" s="69"/>
      <c r="D22" s="70"/>
      <c r="E22" s="70"/>
      <c r="F22" s="70"/>
      <c r="G22" s="70"/>
      <c r="H22" s="70"/>
      <c r="I22" s="70"/>
      <c r="J22" s="70"/>
      <c r="K22" s="70"/>
      <c r="L22" s="71"/>
      <c r="M22" s="72">
        <f>COUNTIF((C22:L22),"N")</f>
        <v>0</v>
      </c>
      <c r="N22" s="78"/>
    </row>
    <row r="23" spans="1:14" ht="18.600000000000001" customHeight="1" x14ac:dyDescent="0.25">
      <c r="A23" s="24" t="s">
        <v>6</v>
      </c>
      <c r="B23" s="9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41"/>
    </row>
    <row r="24" spans="1:14" ht="27" customHeight="1" x14ac:dyDescent="0.2">
      <c r="A24" s="68" t="s">
        <v>92</v>
      </c>
      <c r="B24" s="91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2">
        <f>COUNTIF((C24:L24),"N")</f>
        <v>0</v>
      </c>
      <c r="N24" s="78"/>
    </row>
    <row r="25" spans="1:14" ht="120" x14ac:dyDescent="0.2">
      <c r="A25" s="75" t="s">
        <v>78</v>
      </c>
      <c r="B25" s="77"/>
      <c r="C25" s="69"/>
      <c r="D25" s="69"/>
      <c r="E25" s="69"/>
      <c r="F25" s="65"/>
      <c r="G25" s="65"/>
      <c r="H25" s="65"/>
      <c r="I25" s="65"/>
      <c r="J25" s="65"/>
      <c r="K25" s="65"/>
      <c r="L25" s="65"/>
      <c r="M25" s="66">
        <f>COUNTIF((C25:L25),"N")</f>
        <v>0</v>
      </c>
      <c r="N25" s="67"/>
    </row>
    <row r="26" spans="1:14" s="23" customFormat="1" ht="30" x14ac:dyDescent="0.2">
      <c r="A26" s="75" t="s">
        <v>74</v>
      </c>
      <c r="B26" s="126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66">
        <f>COUNTIF((C26:L26),"N")</f>
        <v>0</v>
      </c>
      <c r="N26" s="67"/>
    </row>
    <row r="27" spans="1:14" ht="45" x14ac:dyDescent="0.2">
      <c r="A27" s="75" t="s">
        <v>63</v>
      </c>
      <c r="B27" s="7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6">
        <f>COUNTIF((C27:L27),"N")</f>
        <v>0</v>
      </c>
      <c r="N27" s="67"/>
    </row>
    <row r="28" spans="1:14" s="23" customFormat="1" ht="57" x14ac:dyDescent="0.25">
      <c r="A28" s="132" t="s">
        <v>68</v>
      </c>
      <c r="B28" s="90"/>
      <c r="C28" s="84" t="s">
        <v>73</v>
      </c>
      <c r="D28" s="84" t="s">
        <v>73</v>
      </c>
      <c r="E28" s="84" t="s">
        <v>73</v>
      </c>
      <c r="F28" s="84" t="s">
        <v>73</v>
      </c>
      <c r="G28" s="84" t="s">
        <v>73</v>
      </c>
      <c r="H28" s="84" t="s">
        <v>73</v>
      </c>
      <c r="I28" s="84" t="s">
        <v>73</v>
      </c>
      <c r="J28" s="84" t="s">
        <v>73</v>
      </c>
      <c r="K28" s="84" t="s">
        <v>73</v>
      </c>
      <c r="L28" s="84" t="s">
        <v>73</v>
      </c>
      <c r="M28" s="82"/>
      <c r="N28" s="83" t="s">
        <v>97</v>
      </c>
    </row>
    <row r="29" spans="1:14" ht="18.600000000000001" customHeight="1" x14ac:dyDescent="0.25">
      <c r="A29" s="51" t="s">
        <v>76</v>
      </c>
      <c r="B29" s="31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59"/>
      <c r="N29" s="80"/>
    </row>
    <row r="30" spans="1:14" ht="18.600000000000001" customHeight="1" x14ac:dyDescent="0.25">
      <c r="A30" s="53" t="s">
        <v>72</v>
      </c>
      <c r="B30" s="31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60"/>
      <c r="N30" s="80"/>
    </row>
    <row r="31" spans="1:14" ht="18.600000000000001" customHeight="1" x14ac:dyDescent="0.25">
      <c r="A31" s="51" t="s">
        <v>41</v>
      </c>
      <c r="B31" s="3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60"/>
      <c r="N31" s="39"/>
    </row>
    <row r="32" spans="1:14" ht="18.600000000000001" customHeight="1" x14ac:dyDescent="0.25">
      <c r="A32" s="51" t="s">
        <v>42</v>
      </c>
      <c r="B32" s="3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60"/>
      <c r="N32" s="39"/>
    </row>
    <row r="33" spans="1:14" ht="18.600000000000001" customHeight="1" x14ac:dyDescent="0.25">
      <c r="A33" s="51" t="s">
        <v>43</v>
      </c>
      <c r="B33" s="31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60"/>
      <c r="N33" s="39"/>
    </row>
    <row r="34" spans="1:14" ht="18.600000000000001" customHeight="1" x14ac:dyDescent="0.25">
      <c r="A34" s="51" t="s">
        <v>44</v>
      </c>
      <c r="B34" s="31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60"/>
      <c r="N34" s="39"/>
    </row>
    <row r="35" spans="1:14" ht="18.600000000000001" customHeight="1" x14ac:dyDescent="0.25">
      <c r="A35" s="51" t="s">
        <v>45</v>
      </c>
      <c r="B35" s="31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60"/>
      <c r="N35" s="39"/>
    </row>
    <row r="36" spans="1:14" ht="18.600000000000001" customHeight="1" x14ac:dyDescent="0.25">
      <c r="A36" s="51" t="s">
        <v>46</v>
      </c>
      <c r="B36" s="1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60"/>
      <c r="N36" s="39"/>
    </row>
    <row r="37" spans="1:14" ht="18.600000000000001" customHeight="1" x14ac:dyDescent="0.25">
      <c r="A37" s="51" t="s">
        <v>47</v>
      </c>
      <c r="B37" s="31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60"/>
      <c r="N37" s="39"/>
    </row>
    <row r="38" spans="1:14" ht="18.600000000000001" customHeight="1" x14ac:dyDescent="0.25">
      <c r="A38" s="51" t="s">
        <v>56</v>
      </c>
      <c r="B38" s="31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60"/>
      <c r="N38" s="39"/>
    </row>
    <row r="39" spans="1:14" ht="18.600000000000001" customHeight="1" x14ac:dyDescent="0.25">
      <c r="A39" s="51" t="s">
        <v>48</v>
      </c>
      <c r="B39" s="31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60"/>
      <c r="N39" s="39"/>
    </row>
    <row r="40" spans="1:14" ht="18.600000000000001" customHeight="1" x14ac:dyDescent="0.25">
      <c r="A40" s="51" t="s">
        <v>49</v>
      </c>
      <c r="B40" s="31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60"/>
      <c r="N40" s="39"/>
    </row>
    <row r="41" spans="1:14" ht="18.600000000000001" customHeight="1" x14ac:dyDescent="0.25">
      <c r="A41" s="22" t="s">
        <v>71</v>
      </c>
      <c r="B41" s="31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60"/>
      <c r="N41" s="81" t="s">
        <v>77</v>
      </c>
    </row>
    <row r="42" spans="1:14" ht="18.600000000000001" customHeight="1" x14ac:dyDescent="0.25">
      <c r="A42" s="51" t="s">
        <v>57</v>
      </c>
      <c r="B42" s="31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60"/>
      <c r="N42" s="39"/>
    </row>
    <row r="43" spans="1:14" ht="18.600000000000001" customHeight="1" x14ac:dyDescent="0.25">
      <c r="A43" s="51" t="s">
        <v>50</v>
      </c>
      <c r="B43" s="31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60"/>
      <c r="N43" s="39"/>
    </row>
    <row r="44" spans="1:14" ht="18.600000000000001" customHeight="1" x14ac:dyDescent="0.25">
      <c r="A44" s="22" t="s">
        <v>108</v>
      </c>
      <c r="B44" s="31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60"/>
      <c r="N44" s="81" t="s">
        <v>77</v>
      </c>
    </row>
    <row r="45" spans="1:14" ht="18.600000000000001" customHeight="1" x14ac:dyDescent="0.25">
      <c r="A45" s="51" t="s">
        <v>51</v>
      </c>
      <c r="B45" s="3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60"/>
      <c r="N45" s="39"/>
    </row>
    <row r="46" spans="1:14" ht="18.600000000000001" customHeight="1" x14ac:dyDescent="0.25">
      <c r="A46" s="51" t="s">
        <v>52</v>
      </c>
      <c r="B46" s="3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60"/>
      <c r="N46" s="39"/>
    </row>
    <row r="47" spans="1:14" ht="18.600000000000001" customHeight="1" x14ac:dyDescent="0.25">
      <c r="A47" s="22" t="s">
        <v>53</v>
      </c>
      <c r="B47" s="3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60"/>
      <c r="N47" s="39"/>
    </row>
    <row r="48" spans="1:14" ht="18.600000000000001" customHeight="1" x14ac:dyDescent="0.25">
      <c r="A48" s="22" t="s">
        <v>58</v>
      </c>
      <c r="B48" s="31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60"/>
      <c r="N48" s="39"/>
    </row>
    <row r="49" spans="1:14" s="23" customFormat="1" ht="40.700000000000003" customHeight="1" x14ac:dyDescent="0.25">
      <c r="A49" s="131" t="s">
        <v>54</v>
      </c>
      <c r="B49" s="89"/>
      <c r="C49" s="84" t="s">
        <v>73</v>
      </c>
      <c r="D49" s="84" t="s">
        <v>73</v>
      </c>
      <c r="E49" s="84" t="s">
        <v>73</v>
      </c>
      <c r="F49" s="84" t="s">
        <v>73</v>
      </c>
      <c r="G49" s="84" t="s">
        <v>73</v>
      </c>
      <c r="H49" s="84" t="s">
        <v>73</v>
      </c>
      <c r="I49" s="84" t="s">
        <v>73</v>
      </c>
      <c r="J49" s="84" t="s">
        <v>73</v>
      </c>
      <c r="K49" s="84" t="s">
        <v>73</v>
      </c>
      <c r="L49" s="84" t="s">
        <v>73</v>
      </c>
      <c r="M49" s="84"/>
      <c r="N49" s="10" t="s">
        <v>98</v>
      </c>
    </row>
    <row r="50" spans="1:14" ht="18.600000000000001" customHeight="1" x14ac:dyDescent="0.25">
      <c r="A50" s="52" t="s">
        <v>25</v>
      </c>
      <c r="B50" s="3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60"/>
      <c r="N50" s="81"/>
    </row>
    <row r="51" spans="1:14" ht="18.600000000000001" customHeight="1" x14ac:dyDescent="0.25">
      <c r="A51" s="51" t="s">
        <v>65</v>
      </c>
      <c r="B51" s="31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60"/>
      <c r="N51" s="81"/>
    </row>
    <row r="52" spans="1:14" ht="18.600000000000001" customHeight="1" x14ac:dyDescent="0.25">
      <c r="A52" s="51" t="s">
        <v>26</v>
      </c>
      <c r="B52" s="31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60"/>
      <c r="N52" s="39"/>
    </row>
    <row r="53" spans="1:14" ht="18.600000000000001" customHeight="1" x14ac:dyDescent="0.25">
      <c r="A53" s="53" t="s">
        <v>27</v>
      </c>
      <c r="B53" s="31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60"/>
      <c r="N53" s="39"/>
    </row>
    <row r="54" spans="1:14" ht="18.600000000000001" customHeight="1" x14ac:dyDescent="0.25">
      <c r="A54" s="53" t="s">
        <v>69</v>
      </c>
      <c r="B54" s="31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60"/>
      <c r="N54" s="39"/>
    </row>
    <row r="55" spans="1:14" ht="18.600000000000001" customHeight="1" x14ac:dyDescent="0.25">
      <c r="A55" s="51" t="s">
        <v>105</v>
      </c>
      <c r="B55" s="16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60"/>
      <c r="N55" s="39"/>
    </row>
    <row r="56" spans="1:14" ht="18.600000000000001" customHeight="1" x14ac:dyDescent="0.25">
      <c r="A56" s="51" t="s">
        <v>35</v>
      </c>
      <c r="B56" s="1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60"/>
      <c r="N56" s="39"/>
    </row>
    <row r="57" spans="1:14" ht="18.600000000000001" customHeight="1" x14ac:dyDescent="0.25">
      <c r="A57" s="94" t="s">
        <v>28</v>
      </c>
      <c r="B57" s="16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60"/>
      <c r="N57" s="39"/>
    </row>
    <row r="58" spans="1:14" ht="18.600000000000001" customHeight="1" x14ac:dyDescent="0.25">
      <c r="A58" s="51" t="s">
        <v>59</v>
      </c>
      <c r="B58" s="1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60"/>
      <c r="N58" s="39"/>
    </row>
    <row r="59" spans="1:14" ht="18.600000000000001" customHeight="1" x14ac:dyDescent="0.25">
      <c r="A59" s="51" t="s">
        <v>29</v>
      </c>
      <c r="B59" s="16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60"/>
      <c r="N59" s="39"/>
    </row>
    <row r="60" spans="1:14" ht="18.600000000000001" customHeight="1" x14ac:dyDescent="0.25">
      <c r="A60" s="51" t="s">
        <v>60</v>
      </c>
      <c r="B60" s="16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60"/>
      <c r="N60" s="39"/>
    </row>
    <row r="61" spans="1:14" ht="18.600000000000001" customHeight="1" x14ac:dyDescent="0.25">
      <c r="A61" s="51" t="s">
        <v>70</v>
      </c>
      <c r="B61" s="16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60"/>
      <c r="N61" s="39"/>
    </row>
    <row r="62" spans="1:14" ht="18.600000000000001" customHeight="1" x14ac:dyDescent="0.25">
      <c r="A62" s="51" t="s">
        <v>36</v>
      </c>
      <c r="B62" s="16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60"/>
      <c r="N62" s="39"/>
    </row>
    <row r="63" spans="1:14" ht="18.600000000000001" customHeight="1" x14ac:dyDescent="0.25">
      <c r="A63" s="51" t="s">
        <v>37</v>
      </c>
      <c r="B63" s="16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60"/>
      <c r="N63" s="39"/>
    </row>
    <row r="64" spans="1:14" ht="18.600000000000001" customHeight="1" x14ac:dyDescent="0.25">
      <c r="A64" s="51" t="s">
        <v>38</v>
      </c>
      <c r="B64" s="1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60"/>
      <c r="N64" s="39"/>
    </row>
    <row r="65" spans="1:14" ht="18.600000000000001" customHeight="1" x14ac:dyDescent="0.25">
      <c r="A65" s="22" t="s">
        <v>30</v>
      </c>
      <c r="B65" s="16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60"/>
      <c r="N65" s="39"/>
    </row>
    <row r="66" spans="1:14" ht="18.600000000000001" customHeight="1" x14ac:dyDescent="0.25">
      <c r="A66" s="51" t="s">
        <v>31</v>
      </c>
      <c r="B66" s="16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60"/>
      <c r="N66" s="39"/>
    </row>
    <row r="67" spans="1:14" ht="18.600000000000001" customHeight="1" x14ac:dyDescent="0.25">
      <c r="A67" s="51" t="s">
        <v>32</v>
      </c>
      <c r="B67" s="16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60"/>
      <c r="N67" s="39"/>
    </row>
    <row r="68" spans="1:14" ht="18.600000000000001" customHeight="1" x14ac:dyDescent="0.25">
      <c r="A68" s="51" t="s">
        <v>111</v>
      </c>
      <c r="B68" s="16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60"/>
      <c r="N68" s="39"/>
    </row>
    <row r="69" spans="1:14" ht="18.600000000000001" customHeight="1" x14ac:dyDescent="0.25">
      <c r="A69" s="53" t="s">
        <v>102</v>
      </c>
      <c r="B69" s="16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60"/>
      <c r="N69" s="39"/>
    </row>
    <row r="70" spans="1:14" s="130" customFormat="1" ht="18.600000000000001" customHeight="1" x14ac:dyDescent="0.25">
      <c r="A70" s="128" t="s">
        <v>109</v>
      </c>
      <c r="B70" s="16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60"/>
      <c r="N70" s="81"/>
    </row>
    <row r="71" spans="1:14" s="130" customFormat="1" ht="18.600000000000001" customHeight="1" x14ac:dyDescent="0.25">
      <c r="A71" s="128" t="s">
        <v>103</v>
      </c>
      <c r="B71" s="16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60"/>
      <c r="N71" s="81"/>
    </row>
    <row r="72" spans="1:14" s="130" customFormat="1" ht="18.600000000000001" customHeight="1" x14ac:dyDescent="0.25">
      <c r="A72" s="128" t="s">
        <v>61</v>
      </c>
      <c r="B72" s="16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60"/>
      <c r="N72" s="81"/>
    </row>
    <row r="73" spans="1:14" s="130" customFormat="1" ht="18.600000000000001" customHeight="1" x14ac:dyDescent="0.25">
      <c r="A73" s="128" t="s">
        <v>61</v>
      </c>
      <c r="B73" s="16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60"/>
      <c r="N73" s="81"/>
    </row>
    <row r="74" spans="1:14" ht="5.45" customHeight="1" x14ac:dyDescent="0.25">
      <c r="A74" s="54"/>
      <c r="B74" s="87"/>
      <c r="C74" s="88"/>
      <c r="D74" s="25"/>
      <c r="E74" s="25"/>
      <c r="F74" s="25"/>
      <c r="G74" s="25"/>
      <c r="H74" s="25"/>
      <c r="I74" s="25"/>
      <c r="J74" s="25"/>
      <c r="K74" s="25"/>
      <c r="L74" s="25"/>
      <c r="M74" s="26"/>
      <c r="N74" s="38"/>
    </row>
    <row r="80" spans="1:14" x14ac:dyDescent="0.2">
      <c r="C80" s="29"/>
      <c r="D80" s="29"/>
    </row>
    <row r="81" spans="1:13" x14ac:dyDescent="0.2">
      <c r="C81" s="30"/>
      <c r="D81" s="30"/>
    </row>
    <row r="82" spans="1:13" x14ac:dyDescent="0.2">
      <c r="A82" s="12"/>
      <c r="B82" s="12"/>
      <c r="C82" s="30"/>
      <c r="D82" s="30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">
      <c r="A83" s="12"/>
      <c r="B83" s="12"/>
      <c r="C83" s="30"/>
      <c r="D83" s="30"/>
      <c r="E83" s="12"/>
      <c r="F83" s="12"/>
      <c r="G83" s="12"/>
      <c r="H83" s="12"/>
      <c r="I83" s="12"/>
      <c r="J83" s="12"/>
      <c r="K83" s="12"/>
      <c r="L83" s="12"/>
      <c r="M83" s="12"/>
    </row>
    <row r="84" spans="1:13" x14ac:dyDescent="0.2">
      <c r="A84" s="12"/>
      <c r="B84" s="12"/>
      <c r="C84" s="29"/>
      <c r="D84" s="29"/>
      <c r="E84" s="12"/>
      <c r="F84" s="12"/>
      <c r="G84" s="12"/>
      <c r="H84" s="12"/>
      <c r="I84" s="12"/>
      <c r="J84" s="12"/>
      <c r="K84" s="12"/>
      <c r="L84" s="12"/>
      <c r="M84" s="12"/>
    </row>
  </sheetData>
  <sheetProtection formatCells="0" selectLockedCells="1"/>
  <mergeCells count="5">
    <mergeCell ref="A1:N1"/>
    <mergeCell ref="A2:B2"/>
    <mergeCell ref="A3:B3"/>
    <mergeCell ref="C2:L2"/>
    <mergeCell ref="C3:L3"/>
  </mergeCells>
  <phoneticPr fontId="1" type="noConversion"/>
  <conditionalFormatting sqref="C10:L15 C17:L17 C24:L25">
    <cfRule type="cellIs" dxfId="119" priority="187" operator="equal">
      <formula>"N"</formula>
    </cfRule>
  </conditionalFormatting>
  <conditionalFormatting sqref="C18:L18">
    <cfRule type="containsBlanks" priority="33" stopIfTrue="1">
      <formula>LEN(TRIM(C18))=0</formula>
    </cfRule>
    <cfRule type="cellIs" dxfId="118" priority="34" stopIfTrue="1" operator="lessThan">
      <formula>TODAY()-1095</formula>
    </cfRule>
    <cfRule type="cellIs" dxfId="117" priority="35" stopIfTrue="1" operator="greaterThan">
      <formula>TODAY()-730</formula>
    </cfRule>
    <cfRule type="cellIs" dxfId="116" priority="25" stopIfTrue="1" operator="between">
      <formula>TODAY()-730</formula>
      <formula>TODAY()-1095</formula>
    </cfRule>
  </conditionalFormatting>
  <conditionalFormatting sqref="C19:L20">
    <cfRule type="cellIs" dxfId="115" priority="32" operator="equal">
      <formula>"N"</formula>
    </cfRule>
  </conditionalFormatting>
  <conditionalFormatting sqref="C22:L22">
    <cfRule type="cellIs" dxfId="114" priority="29" operator="equal">
      <formula>"N"</formula>
    </cfRule>
  </conditionalFormatting>
  <conditionalFormatting sqref="C26:L26">
    <cfRule type="containsBlanks" priority="169" stopIfTrue="1">
      <formula>LEN(TRIM(C26))=0</formula>
    </cfRule>
    <cfRule type="cellIs" dxfId="113" priority="170" stopIfTrue="1" operator="lessThan">
      <formula>TODAY()-365</formula>
    </cfRule>
    <cfRule type="cellIs" dxfId="112" priority="171" stopIfTrue="1" operator="greaterThan">
      <formula>TODAY()-365</formula>
    </cfRule>
  </conditionalFormatting>
  <conditionalFormatting sqref="C27:L27">
    <cfRule type="cellIs" dxfId="111" priority="90" operator="equal">
      <formula>"N"</formula>
    </cfRule>
  </conditionalFormatting>
  <conditionalFormatting sqref="C29:L48 C50:L73">
    <cfRule type="cellIs" dxfId="110" priority="37" stopIfTrue="1" operator="equal">
      <formula>"NA"</formula>
    </cfRule>
  </conditionalFormatting>
  <conditionalFormatting sqref="C29:L48">
    <cfRule type="cellIs" dxfId="109" priority="77" stopIfTrue="1" operator="between">
      <formula>TODAY()-730</formula>
      <formula>TODAY()-1095</formula>
    </cfRule>
    <cfRule type="cellIs" dxfId="108" priority="76" stopIfTrue="1" operator="greaterThan">
      <formula>TODAY()-730</formula>
    </cfRule>
    <cfRule type="containsBlanks" priority="74" stopIfTrue="1">
      <formula>LEN(TRIM(C29))=0</formula>
    </cfRule>
    <cfRule type="cellIs" dxfId="107" priority="75" stopIfTrue="1" operator="lessThan">
      <formula>TODAY()-1095</formula>
    </cfRule>
  </conditionalFormatting>
  <conditionalFormatting sqref="C50:L71">
    <cfRule type="containsBlanks" priority="38" stopIfTrue="1">
      <formula>LEN(TRIM(C50))=0</formula>
    </cfRule>
    <cfRule type="cellIs" dxfId="106" priority="39" stopIfTrue="1" operator="lessThan">
      <formula>TODAY()-1095</formula>
    </cfRule>
    <cfRule type="cellIs" dxfId="105" priority="40" stopIfTrue="1" operator="greaterThan">
      <formula>TODAY()-730</formula>
    </cfRule>
    <cfRule type="cellIs" dxfId="104" priority="41" stopIfTrue="1" operator="between">
      <formula>TODAY()-730</formula>
      <formula>TODAY()-1095</formula>
    </cfRule>
  </conditionalFormatting>
  <conditionalFormatting sqref="C50:L73 C29:L48">
    <cfRule type="cellIs" dxfId="103" priority="36" stopIfTrue="1" operator="equal">
      <formula>"N/A"</formula>
    </cfRule>
  </conditionalFormatting>
  <conditionalFormatting sqref="C72:L72">
    <cfRule type="containsBlanks" priority="1" stopIfTrue="1">
      <formula>LEN(TRIM(C72))=0</formula>
    </cfRule>
    <cfRule type="cellIs" dxfId="102" priority="2" stopIfTrue="1" operator="lessThan">
      <formula>TODAY()-1095</formula>
    </cfRule>
    <cfRule type="cellIs" dxfId="101" priority="3" stopIfTrue="1" operator="greaterThan">
      <formula>TODAY()-730</formula>
    </cfRule>
    <cfRule type="cellIs" dxfId="100" priority="4" stopIfTrue="1" operator="between">
      <formula>TODAY()-730</formula>
      <formula>TODAY()-1095</formula>
    </cfRule>
  </conditionalFormatting>
  <conditionalFormatting sqref="C73:L73">
    <cfRule type="cellIs" dxfId="99" priority="57" stopIfTrue="1" operator="between">
      <formula>TODAY()-730</formula>
      <formula>TODAY()-1095</formula>
    </cfRule>
    <cfRule type="containsBlanks" priority="54" stopIfTrue="1">
      <formula>LEN(TRIM(C73))=0</formula>
    </cfRule>
    <cfRule type="cellIs" dxfId="98" priority="55" stopIfTrue="1" operator="lessThan">
      <formula>TODAY()-1095</formula>
    </cfRule>
    <cfRule type="cellIs" dxfId="97" priority="56" stopIfTrue="1" operator="greaterThan">
      <formula>TODAY()-730</formula>
    </cfRule>
  </conditionalFormatting>
  <conditionalFormatting sqref="N10:N15">
    <cfRule type="expression" dxfId="96" priority="28" stopIfTrue="1">
      <formula>M10&gt;0</formula>
    </cfRule>
  </conditionalFormatting>
  <conditionalFormatting sqref="N17:N20">
    <cfRule type="expression" dxfId="95" priority="26" stopIfTrue="1">
      <formula>M17&gt;0</formula>
    </cfRule>
  </conditionalFormatting>
  <conditionalFormatting sqref="N22">
    <cfRule type="expression" dxfId="94" priority="31" stopIfTrue="1">
      <formula>M22&gt;0</formula>
    </cfRule>
  </conditionalFormatting>
  <conditionalFormatting sqref="N24:N27">
    <cfRule type="expression" dxfId="93" priority="91" stopIfTrue="1">
      <formula>M24&gt;0</formula>
    </cfRule>
  </conditionalFormatting>
  <conditionalFormatting sqref="N29:N35">
    <cfRule type="expression" dxfId="92" priority="108" stopIfTrue="1">
      <formula>M29&gt;0</formula>
    </cfRule>
  </conditionalFormatting>
  <conditionalFormatting sqref="N37:N44">
    <cfRule type="expression" dxfId="91" priority="189" stopIfTrue="1">
      <formula>M37&gt;0</formula>
    </cfRule>
  </conditionalFormatting>
  <conditionalFormatting sqref="N47:N73">
    <cfRule type="expression" dxfId="90" priority="176" stopIfTrue="1">
      <formula>M47&gt;0</formula>
    </cfRule>
  </conditionalFormatting>
  <dataValidations count="6">
    <dataValidation allowBlank="1" showInputMessage="1" showErrorMessage="1" sqref="N47:N74 N37:N44 N17:N20 N10:N15 N22 N24:N35" xr:uid="{5942F8D4-8D0F-48A8-AA48-A0AD1F88257A}"/>
    <dataValidation type="list" allowBlank="1" showInputMessage="1" showErrorMessage="1" sqref="C27:L27 C19:L19 C22:L22 C17:L17 C13:L14 C24:L25" xr:uid="{BDC5B479-8473-4933-8C85-50F227F54414}">
      <formula1>Response</formula1>
    </dataValidation>
    <dataValidation type="date" allowBlank="1" showInputMessage="1" showErrorMessage="1" sqref="C29:L48 C18:L18 C26:L26 C50:L73" xr:uid="{38BEF9B4-1958-471B-BBCD-7725FFEE6F05}">
      <formula1>36526</formula1>
      <formula2>117610</formula2>
    </dataValidation>
    <dataValidation type="list" allowBlank="1" showInputMessage="1" showErrorMessage="1" sqref="C15:L15 C20:L20 C11:L12" xr:uid="{D26CCF85-3F06-4D01-947C-4246F995105F}">
      <formula1>"Y,N"</formula1>
    </dataValidation>
    <dataValidation type="list" allowBlank="1" showInputMessage="1" showErrorMessage="1" sqref="C7:L7" xr:uid="{79BB0131-F1FA-4FF1-82EE-55445116B627}">
      <formula1>"AE,CDL,CSR,CSR SUP,CST,DM,LIAISON,LCM,LOC SUP,LSM,PAP SPECISLIST,PST,RN,RT,WHSE SUP, "</formula1>
    </dataValidation>
    <dataValidation type="list" allowBlank="1" showInputMessage="1" showErrorMessage="1" sqref="C10:L10" xr:uid="{4DCD0008-ECD8-4991-8EFD-BBD9931CE8C8}">
      <formula1>"Y,N, NA"</formula1>
    </dataValidation>
  </dataValidations>
  <printOptions horizontalCentered="1"/>
  <pageMargins left="0.4" right="0.4" top="0.6" bottom="0.6" header="0.3" footer="0.3"/>
  <pageSetup scale="46" fitToHeight="0" orientation="landscape" r:id="rId1"/>
  <headerFooter scaleWithDoc="0" alignWithMargins="0">
    <oddFooter>&amp;L&amp;"-,Regular"&amp;9JC 427 Personnel Record Review&amp;C&amp;"-,Regular"&amp;9Page &amp;P&amp;RREV 2026.01.05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2B48-C2B5-4BE1-9032-9B9F56CC3E53}">
  <sheetPr>
    <pageSetUpPr fitToPage="1"/>
  </sheetPr>
  <dimension ref="A1:Q84"/>
  <sheetViews>
    <sheetView zoomScale="90" zoomScaleNormal="90" workbookViewId="0">
      <selection activeCell="C2" sqref="C2:L2"/>
    </sheetView>
  </sheetViews>
  <sheetFormatPr defaultRowHeight="11.25" x14ac:dyDescent="0.2"/>
  <cols>
    <col min="1" max="1" width="44.140625" style="27" customWidth="1"/>
    <col min="2" max="2" width="0.85546875" style="28" customWidth="1"/>
    <col min="3" max="5" width="11.5703125" style="28" customWidth="1"/>
    <col min="6" max="12" width="10.140625" style="28" bestFit="1" customWidth="1"/>
    <col min="13" max="13" width="10.5703125" style="27" customWidth="1"/>
    <col min="14" max="14" width="78.42578125" style="12" customWidth="1"/>
    <col min="15" max="16" width="7.42578125" style="12" bestFit="1" customWidth="1"/>
    <col min="17" max="17" width="3" style="12" bestFit="1" customWidth="1"/>
    <col min="18" max="18" width="13.140625" style="12" bestFit="1" customWidth="1"/>
    <col min="19" max="19" width="28.42578125" style="12" customWidth="1"/>
    <col min="20" max="16384" width="9.140625" style="12"/>
  </cols>
  <sheetData>
    <row r="1" spans="1:17" s="35" customFormat="1" ht="21.75" customHeight="1" x14ac:dyDescent="0.2">
      <c r="A1" s="134" t="s">
        <v>55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</row>
    <row r="2" spans="1:17" s="35" customFormat="1" ht="18.75" customHeight="1" x14ac:dyDescent="0.2">
      <c r="A2" s="137" t="s">
        <v>20</v>
      </c>
      <c r="B2" s="138"/>
      <c r="C2" s="141"/>
      <c r="D2" s="142"/>
      <c r="E2" s="142"/>
      <c r="F2" s="142"/>
      <c r="G2" s="142"/>
      <c r="H2" s="142"/>
      <c r="I2" s="142"/>
      <c r="J2" s="142"/>
      <c r="K2" s="142"/>
      <c r="L2" s="143"/>
      <c r="M2" s="33" t="s">
        <v>18</v>
      </c>
      <c r="N2" s="34"/>
    </row>
    <row r="3" spans="1:17" s="35" customFormat="1" ht="18.75" customHeight="1" x14ac:dyDescent="0.2">
      <c r="A3" s="139" t="s">
        <v>23</v>
      </c>
      <c r="B3" s="140"/>
      <c r="C3" s="144"/>
      <c r="D3" s="145"/>
      <c r="E3" s="145"/>
      <c r="F3" s="145"/>
      <c r="G3" s="145"/>
      <c r="H3" s="145"/>
      <c r="I3" s="145"/>
      <c r="J3" s="145"/>
      <c r="K3" s="145"/>
      <c r="L3" s="146"/>
      <c r="M3" s="33" t="s">
        <v>19</v>
      </c>
      <c r="N3" s="36"/>
    </row>
    <row r="4" spans="1:17" ht="5.45" customHeight="1" x14ac:dyDescent="0.25">
      <c r="A4" s="13"/>
      <c r="B4" s="5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7" s="18" customFormat="1" ht="110.25" customHeight="1" x14ac:dyDescent="0.25">
      <c r="A5" s="48" t="s">
        <v>17</v>
      </c>
      <c r="B5" s="16"/>
      <c r="C5" s="55"/>
      <c r="D5" s="9"/>
      <c r="E5" s="9"/>
      <c r="F5" s="9"/>
      <c r="G5" s="9"/>
      <c r="H5" s="9"/>
      <c r="I5" s="9"/>
      <c r="J5" s="9"/>
      <c r="K5" s="9"/>
      <c r="L5" s="11"/>
      <c r="M5" s="61"/>
      <c r="N5" s="62"/>
      <c r="O5" s="17"/>
      <c r="P5" s="17"/>
      <c r="Q5" s="17"/>
    </row>
    <row r="6" spans="1:17" s="18" customFormat="1" ht="5.45" customHeight="1" x14ac:dyDescent="0.25">
      <c r="A6" s="19"/>
      <c r="B6" s="86"/>
      <c r="C6" s="20"/>
      <c r="D6" s="20"/>
      <c r="E6" s="20"/>
      <c r="F6" s="20"/>
      <c r="G6" s="20"/>
      <c r="H6" s="20"/>
      <c r="I6" s="20"/>
      <c r="J6" s="20"/>
      <c r="K6" s="20"/>
      <c r="L6" s="63"/>
      <c r="M6" s="64"/>
      <c r="N6" s="114"/>
      <c r="O6" s="17"/>
      <c r="P6" s="17"/>
      <c r="Q6" s="17"/>
    </row>
    <row r="7" spans="1:17" ht="18.75" customHeight="1" x14ac:dyDescent="0.25">
      <c r="A7" s="49" t="s">
        <v>0</v>
      </c>
      <c r="B7" s="21"/>
      <c r="C7" s="45"/>
      <c r="D7" s="45"/>
      <c r="E7" s="45"/>
      <c r="F7" s="45"/>
      <c r="G7" s="45"/>
      <c r="H7" s="45"/>
      <c r="I7" s="45"/>
      <c r="J7" s="45"/>
      <c r="K7" s="45"/>
      <c r="L7" s="45"/>
      <c r="M7" s="61"/>
      <c r="N7" s="116"/>
    </row>
    <row r="8" spans="1:17" ht="18.75" customHeight="1" x14ac:dyDescent="0.25">
      <c r="A8" s="50" t="s">
        <v>1</v>
      </c>
      <c r="B8" s="21"/>
      <c r="C8" s="56"/>
      <c r="D8" s="37"/>
      <c r="E8" s="37"/>
      <c r="F8" s="37"/>
      <c r="G8" s="37"/>
      <c r="H8" s="37"/>
      <c r="I8" s="37"/>
      <c r="J8" s="37"/>
      <c r="K8" s="37"/>
      <c r="L8" s="37"/>
      <c r="M8" s="113"/>
      <c r="N8" s="117"/>
    </row>
    <row r="9" spans="1:17" s="35" customFormat="1" ht="18.600000000000001" customHeight="1" x14ac:dyDescent="0.2">
      <c r="A9" s="42" t="s">
        <v>7</v>
      </c>
      <c r="B9" s="93"/>
      <c r="C9" s="43"/>
      <c r="D9" s="43"/>
      <c r="E9" s="43"/>
      <c r="F9" s="43"/>
      <c r="G9" s="43"/>
      <c r="H9" s="43"/>
      <c r="I9" s="43"/>
      <c r="J9" s="43"/>
      <c r="K9" s="43"/>
      <c r="L9" s="43"/>
      <c r="M9" s="44" t="s">
        <v>4</v>
      </c>
      <c r="N9" s="115" t="s">
        <v>21</v>
      </c>
    </row>
    <row r="10" spans="1:17" ht="30" x14ac:dyDescent="0.2">
      <c r="A10" s="68" t="s">
        <v>107</v>
      </c>
      <c r="B10" s="7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2">
        <f t="shared" ref="M10:M15" si="0">COUNTIF((C10:L10),"N")</f>
        <v>0</v>
      </c>
      <c r="N10" s="78"/>
    </row>
    <row r="11" spans="1:17" ht="18.600000000000001" customHeight="1" x14ac:dyDescent="0.2">
      <c r="A11" s="68" t="s">
        <v>39</v>
      </c>
      <c r="B11" s="77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72">
        <f t="shared" si="0"/>
        <v>0</v>
      </c>
      <c r="N11" s="78"/>
    </row>
    <row r="12" spans="1:17" ht="25.5" customHeight="1" x14ac:dyDescent="0.2">
      <c r="A12" s="22" t="s">
        <v>104</v>
      </c>
      <c r="B12" s="77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46">
        <f t="shared" si="0"/>
        <v>0</v>
      </c>
      <c r="N12" s="40"/>
    </row>
    <row r="13" spans="1:17" ht="18.600000000000001" customHeight="1" x14ac:dyDescent="0.2">
      <c r="A13" s="22" t="s">
        <v>3</v>
      </c>
      <c r="B13" s="77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>
        <f t="shared" si="0"/>
        <v>0</v>
      </c>
      <c r="N13" s="40"/>
    </row>
    <row r="14" spans="1:17" ht="29.1" customHeight="1" x14ac:dyDescent="0.2">
      <c r="A14" s="22" t="s">
        <v>5</v>
      </c>
      <c r="B14" s="77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>
        <f t="shared" si="0"/>
        <v>0</v>
      </c>
      <c r="N14" s="95"/>
    </row>
    <row r="15" spans="1:17" ht="30" x14ac:dyDescent="0.2">
      <c r="A15" s="22" t="s">
        <v>67</v>
      </c>
      <c r="B15" s="77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46">
        <f t="shared" si="0"/>
        <v>0</v>
      </c>
      <c r="N15" s="40"/>
    </row>
    <row r="16" spans="1:17" ht="18.600000000000001" customHeight="1" x14ac:dyDescent="0.25">
      <c r="A16" s="24" t="s">
        <v>82</v>
      </c>
      <c r="B16" s="9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41"/>
    </row>
    <row r="17" spans="1:14" ht="15.75" x14ac:dyDescent="0.2">
      <c r="A17" s="75" t="s">
        <v>62</v>
      </c>
      <c r="B17" s="77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>
        <f>COUNTIF((C17:L17),"N")</f>
        <v>0</v>
      </c>
      <c r="N17" s="67"/>
    </row>
    <row r="18" spans="1:14" ht="30" x14ac:dyDescent="0.2">
      <c r="A18" s="75" t="s">
        <v>99</v>
      </c>
      <c r="B18" s="7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66"/>
      <c r="N18" s="95"/>
    </row>
    <row r="19" spans="1:14" ht="15.75" x14ac:dyDescent="0.2">
      <c r="A19" s="75" t="s">
        <v>40</v>
      </c>
      <c r="B19" s="77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6">
        <f>COUNTIF((C19:L19),"N")</f>
        <v>0</v>
      </c>
      <c r="N19" s="79" t="s">
        <v>106</v>
      </c>
    </row>
    <row r="20" spans="1:14" ht="55.5" customHeight="1" x14ac:dyDescent="0.2">
      <c r="A20" s="22" t="s">
        <v>81</v>
      </c>
      <c r="B20" s="77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46">
        <f>COUNTIF((C20:L20),"N")</f>
        <v>0</v>
      </c>
      <c r="N20" s="79"/>
    </row>
    <row r="21" spans="1:14" ht="18.600000000000001" customHeight="1" x14ac:dyDescent="0.25">
      <c r="A21" s="24" t="s">
        <v>83</v>
      </c>
      <c r="B21" s="92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41"/>
    </row>
    <row r="22" spans="1:14" ht="15.75" x14ac:dyDescent="0.2">
      <c r="A22" s="52" t="s">
        <v>22</v>
      </c>
      <c r="B22" s="91"/>
      <c r="C22" s="69"/>
      <c r="D22" s="70"/>
      <c r="E22" s="70"/>
      <c r="F22" s="70"/>
      <c r="G22" s="70"/>
      <c r="H22" s="70"/>
      <c r="I22" s="70"/>
      <c r="J22" s="70"/>
      <c r="K22" s="70"/>
      <c r="L22" s="71"/>
      <c r="M22" s="72">
        <f>COUNTIF((C22:L22),"N")</f>
        <v>0</v>
      </c>
      <c r="N22" s="78"/>
    </row>
    <row r="23" spans="1:14" ht="18.600000000000001" customHeight="1" x14ac:dyDescent="0.25">
      <c r="A23" s="24" t="s">
        <v>6</v>
      </c>
      <c r="B23" s="9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41"/>
    </row>
    <row r="24" spans="1:14" ht="27" customHeight="1" x14ac:dyDescent="0.2">
      <c r="A24" s="68" t="s">
        <v>92</v>
      </c>
      <c r="B24" s="91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2">
        <f>COUNTIF((C24:L24),"N")</f>
        <v>0</v>
      </c>
      <c r="N24" s="78"/>
    </row>
    <row r="25" spans="1:14" ht="120" x14ac:dyDescent="0.2">
      <c r="A25" s="75" t="s">
        <v>78</v>
      </c>
      <c r="B25" s="77"/>
      <c r="C25" s="69"/>
      <c r="D25" s="69"/>
      <c r="E25" s="69"/>
      <c r="F25" s="65"/>
      <c r="G25" s="65"/>
      <c r="H25" s="65"/>
      <c r="I25" s="65"/>
      <c r="J25" s="65"/>
      <c r="K25" s="65"/>
      <c r="L25" s="65"/>
      <c r="M25" s="66">
        <f>COUNTIF((C25:L25),"N")</f>
        <v>0</v>
      </c>
      <c r="N25" s="67"/>
    </row>
    <row r="26" spans="1:14" s="23" customFormat="1" ht="30" x14ac:dyDescent="0.2">
      <c r="A26" s="75" t="s">
        <v>74</v>
      </c>
      <c r="B26" s="126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66">
        <f>COUNTIF((C26:L26),"N")</f>
        <v>0</v>
      </c>
      <c r="N26" s="67"/>
    </row>
    <row r="27" spans="1:14" ht="45" x14ac:dyDescent="0.2">
      <c r="A27" s="75" t="s">
        <v>63</v>
      </c>
      <c r="B27" s="7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6">
        <f>COUNTIF((C27:L27),"N")</f>
        <v>0</v>
      </c>
      <c r="N27" s="67"/>
    </row>
    <row r="28" spans="1:14" s="23" customFormat="1" ht="57" x14ac:dyDescent="0.25">
      <c r="A28" s="132" t="s">
        <v>68</v>
      </c>
      <c r="B28" s="90"/>
      <c r="C28" s="84" t="s">
        <v>73</v>
      </c>
      <c r="D28" s="84" t="s">
        <v>73</v>
      </c>
      <c r="E28" s="84" t="s">
        <v>73</v>
      </c>
      <c r="F28" s="84" t="s">
        <v>73</v>
      </c>
      <c r="G28" s="84" t="s">
        <v>73</v>
      </c>
      <c r="H28" s="84" t="s">
        <v>73</v>
      </c>
      <c r="I28" s="84" t="s">
        <v>73</v>
      </c>
      <c r="J28" s="84" t="s">
        <v>73</v>
      </c>
      <c r="K28" s="84" t="s">
        <v>73</v>
      </c>
      <c r="L28" s="84" t="s">
        <v>73</v>
      </c>
      <c r="M28" s="82"/>
      <c r="N28" s="83" t="s">
        <v>97</v>
      </c>
    </row>
    <row r="29" spans="1:14" ht="18.600000000000001" customHeight="1" x14ac:dyDescent="0.25">
      <c r="A29" s="51" t="s">
        <v>76</v>
      </c>
      <c r="B29" s="31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59"/>
      <c r="N29" s="80"/>
    </row>
    <row r="30" spans="1:14" ht="18.600000000000001" customHeight="1" x14ac:dyDescent="0.25">
      <c r="A30" s="53" t="s">
        <v>72</v>
      </c>
      <c r="B30" s="31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60"/>
      <c r="N30" s="80"/>
    </row>
    <row r="31" spans="1:14" ht="18.600000000000001" customHeight="1" x14ac:dyDescent="0.25">
      <c r="A31" s="51" t="s">
        <v>41</v>
      </c>
      <c r="B31" s="3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60"/>
      <c r="N31" s="39"/>
    </row>
    <row r="32" spans="1:14" ht="18.600000000000001" customHeight="1" x14ac:dyDescent="0.25">
      <c r="A32" s="51" t="s">
        <v>42</v>
      </c>
      <c r="B32" s="3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60"/>
      <c r="N32" s="39"/>
    </row>
    <row r="33" spans="1:14" ht="18.600000000000001" customHeight="1" x14ac:dyDescent="0.25">
      <c r="A33" s="51" t="s">
        <v>43</v>
      </c>
      <c r="B33" s="31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60"/>
      <c r="N33" s="39"/>
    </row>
    <row r="34" spans="1:14" ht="18.600000000000001" customHeight="1" x14ac:dyDescent="0.25">
      <c r="A34" s="51" t="s">
        <v>44</v>
      </c>
      <c r="B34" s="31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60"/>
      <c r="N34" s="39"/>
    </row>
    <row r="35" spans="1:14" ht="18.600000000000001" customHeight="1" x14ac:dyDescent="0.25">
      <c r="A35" s="51" t="s">
        <v>45</v>
      </c>
      <c r="B35" s="31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60"/>
      <c r="N35" s="39"/>
    </row>
    <row r="36" spans="1:14" ht="18.600000000000001" customHeight="1" x14ac:dyDescent="0.25">
      <c r="A36" s="51" t="s">
        <v>46</v>
      </c>
      <c r="B36" s="1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60"/>
      <c r="N36" s="39"/>
    </row>
    <row r="37" spans="1:14" ht="18.600000000000001" customHeight="1" x14ac:dyDescent="0.25">
      <c r="A37" s="51" t="s">
        <v>47</v>
      </c>
      <c r="B37" s="31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60"/>
      <c r="N37" s="39"/>
    </row>
    <row r="38" spans="1:14" ht="18.600000000000001" customHeight="1" x14ac:dyDescent="0.25">
      <c r="A38" s="51" t="s">
        <v>56</v>
      </c>
      <c r="B38" s="31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60"/>
      <c r="N38" s="39"/>
    </row>
    <row r="39" spans="1:14" ht="18.600000000000001" customHeight="1" x14ac:dyDescent="0.25">
      <c r="A39" s="51" t="s">
        <v>48</v>
      </c>
      <c r="B39" s="31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60"/>
      <c r="N39" s="39"/>
    </row>
    <row r="40" spans="1:14" ht="18.600000000000001" customHeight="1" x14ac:dyDescent="0.25">
      <c r="A40" s="51" t="s">
        <v>49</v>
      </c>
      <c r="B40" s="31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60"/>
      <c r="N40" s="39"/>
    </row>
    <row r="41" spans="1:14" ht="18.600000000000001" customHeight="1" x14ac:dyDescent="0.25">
      <c r="A41" s="22" t="s">
        <v>71</v>
      </c>
      <c r="B41" s="31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60"/>
      <c r="N41" s="81" t="s">
        <v>77</v>
      </c>
    </row>
    <row r="42" spans="1:14" ht="18.600000000000001" customHeight="1" x14ac:dyDescent="0.25">
      <c r="A42" s="51" t="s">
        <v>57</v>
      </c>
      <c r="B42" s="31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60"/>
      <c r="N42" s="39"/>
    </row>
    <row r="43" spans="1:14" ht="18.600000000000001" customHeight="1" x14ac:dyDescent="0.25">
      <c r="A43" s="51" t="s">
        <v>50</v>
      </c>
      <c r="B43" s="31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60"/>
      <c r="N43" s="39"/>
    </row>
    <row r="44" spans="1:14" ht="18.600000000000001" customHeight="1" x14ac:dyDescent="0.25">
      <c r="A44" s="22" t="s">
        <v>108</v>
      </c>
      <c r="B44" s="31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60"/>
      <c r="N44" s="81" t="s">
        <v>77</v>
      </c>
    </row>
    <row r="45" spans="1:14" ht="18.600000000000001" customHeight="1" x14ac:dyDescent="0.25">
      <c r="A45" s="51" t="s">
        <v>51</v>
      </c>
      <c r="B45" s="3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60"/>
      <c r="N45" s="39"/>
    </row>
    <row r="46" spans="1:14" ht="18.600000000000001" customHeight="1" x14ac:dyDescent="0.25">
      <c r="A46" s="51" t="s">
        <v>52</v>
      </c>
      <c r="B46" s="3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60"/>
      <c r="N46" s="39"/>
    </row>
    <row r="47" spans="1:14" ht="18.600000000000001" customHeight="1" x14ac:dyDescent="0.25">
      <c r="A47" s="22" t="s">
        <v>53</v>
      </c>
      <c r="B47" s="3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60"/>
      <c r="N47" s="39"/>
    </row>
    <row r="48" spans="1:14" ht="18.600000000000001" customHeight="1" x14ac:dyDescent="0.25">
      <c r="A48" s="22" t="s">
        <v>58</v>
      </c>
      <c r="B48" s="31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60"/>
      <c r="N48" s="39"/>
    </row>
    <row r="49" spans="1:14" s="23" customFormat="1" ht="40.700000000000003" customHeight="1" x14ac:dyDescent="0.25">
      <c r="A49" s="131" t="s">
        <v>54</v>
      </c>
      <c r="B49" s="89"/>
      <c r="C49" s="84" t="s">
        <v>73</v>
      </c>
      <c r="D49" s="84" t="s">
        <v>73</v>
      </c>
      <c r="E49" s="84" t="s">
        <v>73</v>
      </c>
      <c r="F49" s="84" t="s">
        <v>73</v>
      </c>
      <c r="G49" s="84" t="s">
        <v>73</v>
      </c>
      <c r="H49" s="84" t="s">
        <v>73</v>
      </c>
      <c r="I49" s="84" t="s">
        <v>73</v>
      </c>
      <c r="J49" s="84" t="s">
        <v>73</v>
      </c>
      <c r="K49" s="84" t="s">
        <v>73</v>
      </c>
      <c r="L49" s="84" t="s">
        <v>73</v>
      </c>
      <c r="M49" s="84"/>
      <c r="N49" s="10" t="s">
        <v>98</v>
      </c>
    </row>
    <row r="50" spans="1:14" ht="18.600000000000001" customHeight="1" x14ac:dyDescent="0.25">
      <c r="A50" s="52" t="s">
        <v>25</v>
      </c>
      <c r="B50" s="3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60"/>
      <c r="N50" s="81"/>
    </row>
    <row r="51" spans="1:14" ht="18.600000000000001" customHeight="1" x14ac:dyDescent="0.25">
      <c r="A51" s="51" t="s">
        <v>65</v>
      </c>
      <c r="B51" s="31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60"/>
      <c r="N51" s="81"/>
    </row>
    <row r="52" spans="1:14" ht="18.600000000000001" customHeight="1" x14ac:dyDescent="0.25">
      <c r="A52" s="51" t="s">
        <v>26</v>
      </c>
      <c r="B52" s="31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60"/>
      <c r="N52" s="39"/>
    </row>
    <row r="53" spans="1:14" ht="18.600000000000001" customHeight="1" x14ac:dyDescent="0.25">
      <c r="A53" s="53" t="s">
        <v>27</v>
      </c>
      <c r="B53" s="31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60"/>
      <c r="N53" s="39"/>
    </row>
    <row r="54" spans="1:14" ht="18.600000000000001" customHeight="1" x14ac:dyDescent="0.25">
      <c r="A54" s="53" t="s">
        <v>69</v>
      </c>
      <c r="B54" s="31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60"/>
      <c r="N54" s="39"/>
    </row>
    <row r="55" spans="1:14" ht="18.600000000000001" customHeight="1" x14ac:dyDescent="0.25">
      <c r="A55" s="51" t="s">
        <v>105</v>
      </c>
      <c r="B55" s="16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60"/>
      <c r="N55" s="39"/>
    </row>
    <row r="56" spans="1:14" ht="18.600000000000001" customHeight="1" x14ac:dyDescent="0.25">
      <c r="A56" s="51" t="s">
        <v>35</v>
      </c>
      <c r="B56" s="1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60"/>
      <c r="N56" s="39"/>
    </row>
    <row r="57" spans="1:14" ht="18.600000000000001" customHeight="1" x14ac:dyDescent="0.25">
      <c r="A57" s="94" t="s">
        <v>28</v>
      </c>
      <c r="B57" s="16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60"/>
      <c r="N57" s="39"/>
    </row>
    <row r="58" spans="1:14" ht="18.600000000000001" customHeight="1" x14ac:dyDescent="0.25">
      <c r="A58" s="51" t="s">
        <v>59</v>
      </c>
      <c r="B58" s="1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60"/>
      <c r="N58" s="39"/>
    </row>
    <row r="59" spans="1:14" ht="18.600000000000001" customHeight="1" x14ac:dyDescent="0.25">
      <c r="A59" s="51" t="s">
        <v>29</v>
      </c>
      <c r="B59" s="16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60"/>
      <c r="N59" s="39"/>
    </row>
    <row r="60" spans="1:14" ht="18.600000000000001" customHeight="1" x14ac:dyDescent="0.25">
      <c r="A60" s="51" t="s">
        <v>60</v>
      </c>
      <c r="B60" s="16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60"/>
      <c r="N60" s="39"/>
    </row>
    <row r="61" spans="1:14" ht="18.600000000000001" customHeight="1" x14ac:dyDescent="0.25">
      <c r="A61" s="51" t="s">
        <v>70</v>
      </c>
      <c r="B61" s="16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60"/>
      <c r="N61" s="39"/>
    </row>
    <row r="62" spans="1:14" ht="18.600000000000001" customHeight="1" x14ac:dyDescent="0.25">
      <c r="A62" s="51" t="s">
        <v>36</v>
      </c>
      <c r="B62" s="16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60"/>
      <c r="N62" s="39"/>
    </row>
    <row r="63" spans="1:14" ht="18.600000000000001" customHeight="1" x14ac:dyDescent="0.25">
      <c r="A63" s="51" t="s">
        <v>37</v>
      </c>
      <c r="B63" s="16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60"/>
      <c r="N63" s="39"/>
    </row>
    <row r="64" spans="1:14" ht="18.600000000000001" customHeight="1" x14ac:dyDescent="0.25">
      <c r="A64" s="51" t="s">
        <v>38</v>
      </c>
      <c r="B64" s="1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60"/>
      <c r="N64" s="39"/>
    </row>
    <row r="65" spans="1:14" ht="18.600000000000001" customHeight="1" x14ac:dyDescent="0.25">
      <c r="A65" s="22" t="s">
        <v>30</v>
      </c>
      <c r="B65" s="16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60"/>
      <c r="N65" s="39"/>
    </row>
    <row r="66" spans="1:14" ht="18.600000000000001" customHeight="1" x14ac:dyDescent="0.25">
      <c r="A66" s="51" t="s">
        <v>31</v>
      </c>
      <c r="B66" s="16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60"/>
      <c r="N66" s="39"/>
    </row>
    <row r="67" spans="1:14" ht="18.600000000000001" customHeight="1" x14ac:dyDescent="0.25">
      <c r="A67" s="51" t="s">
        <v>32</v>
      </c>
      <c r="B67" s="16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60"/>
      <c r="N67" s="39"/>
    </row>
    <row r="68" spans="1:14" ht="18.600000000000001" customHeight="1" x14ac:dyDescent="0.25">
      <c r="A68" s="51" t="s">
        <v>111</v>
      </c>
      <c r="B68" s="16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60"/>
      <c r="N68" s="39"/>
    </row>
    <row r="69" spans="1:14" ht="18.600000000000001" customHeight="1" x14ac:dyDescent="0.25">
      <c r="A69" s="53" t="s">
        <v>102</v>
      </c>
      <c r="B69" s="16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60"/>
      <c r="N69" s="39"/>
    </row>
    <row r="70" spans="1:14" s="130" customFormat="1" ht="18.600000000000001" customHeight="1" x14ac:dyDescent="0.25">
      <c r="A70" s="128" t="s">
        <v>109</v>
      </c>
      <c r="B70" s="16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60"/>
      <c r="N70" s="81"/>
    </row>
    <row r="71" spans="1:14" s="130" customFormat="1" ht="18.600000000000001" customHeight="1" x14ac:dyDescent="0.25">
      <c r="A71" s="128" t="s">
        <v>103</v>
      </c>
      <c r="B71" s="16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60"/>
      <c r="N71" s="81"/>
    </row>
    <row r="72" spans="1:14" s="130" customFormat="1" ht="18.600000000000001" customHeight="1" x14ac:dyDescent="0.25">
      <c r="A72" s="128" t="s">
        <v>61</v>
      </c>
      <c r="B72" s="16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60"/>
      <c r="N72" s="81"/>
    </row>
    <row r="73" spans="1:14" s="130" customFormat="1" ht="18.600000000000001" customHeight="1" x14ac:dyDescent="0.25">
      <c r="A73" s="128" t="s">
        <v>61</v>
      </c>
      <c r="B73" s="16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60"/>
      <c r="N73" s="81"/>
    </row>
    <row r="74" spans="1:14" ht="5.45" customHeight="1" x14ac:dyDescent="0.25">
      <c r="A74" s="54"/>
      <c r="B74" s="87"/>
      <c r="C74" s="88"/>
      <c r="D74" s="25"/>
      <c r="E74" s="25"/>
      <c r="F74" s="25"/>
      <c r="G74" s="25"/>
      <c r="H74" s="25"/>
      <c r="I74" s="25"/>
      <c r="J74" s="25"/>
      <c r="K74" s="25"/>
      <c r="L74" s="25"/>
      <c r="M74" s="26"/>
      <c r="N74" s="38"/>
    </row>
    <row r="80" spans="1:14" x14ac:dyDescent="0.2">
      <c r="C80" s="29"/>
      <c r="D80" s="29"/>
    </row>
    <row r="81" spans="1:13" x14ac:dyDescent="0.2">
      <c r="C81" s="30"/>
      <c r="D81" s="30"/>
    </row>
    <row r="82" spans="1:13" x14ac:dyDescent="0.2">
      <c r="A82" s="12"/>
      <c r="B82" s="12"/>
      <c r="C82" s="30"/>
      <c r="D82" s="30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">
      <c r="A83" s="12"/>
      <c r="B83" s="12"/>
      <c r="C83" s="30"/>
      <c r="D83" s="30"/>
      <c r="E83" s="12"/>
      <c r="F83" s="12"/>
      <c r="G83" s="12"/>
      <c r="H83" s="12"/>
      <c r="I83" s="12"/>
      <c r="J83" s="12"/>
      <c r="K83" s="12"/>
      <c r="L83" s="12"/>
      <c r="M83" s="12"/>
    </row>
    <row r="84" spans="1:13" x14ac:dyDescent="0.2">
      <c r="A84" s="12"/>
      <c r="B84" s="12"/>
      <c r="C84" s="29"/>
      <c r="D84" s="29"/>
      <c r="E84" s="12"/>
      <c r="F84" s="12"/>
      <c r="G84" s="12"/>
      <c r="H84" s="12"/>
      <c r="I84" s="12"/>
      <c r="J84" s="12"/>
      <c r="K84" s="12"/>
      <c r="L84" s="12"/>
      <c r="M84" s="12"/>
    </row>
  </sheetData>
  <sheetProtection selectLockedCells="1"/>
  <mergeCells count="5">
    <mergeCell ref="A1:N1"/>
    <mergeCell ref="A2:B2"/>
    <mergeCell ref="C2:L2"/>
    <mergeCell ref="A3:B3"/>
    <mergeCell ref="C3:L3"/>
  </mergeCells>
  <conditionalFormatting sqref="C10:L15 C17:L17 C24:L25">
    <cfRule type="cellIs" dxfId="89" priority="187" operator="equal">
      <formula>"N"</formula>
    </cfRule>
  </conditionalFormatting>
  <conditionalFormatting sqref="C18:L18">
    <cfRule type="containsBlanks" priority="33" stopIfTrue="1">
      <formula>LEN(TRIM(C18))=0</formula>
    </cfRule>
    <cfRule type="cellIs" dxfId="88" priority="34" stopIfTrue="1" operator="lessThan">
      <formula>TODAY()-1095</formula>
    </cfRule>
    <cfRule type="cellIs" dxfId="87" priority="35" stopIfTrue="1" operator="greaterThan">
      <formula>TODAY()-730</formula>
    </cfRule>
    <cfRule type="cellIs" dxfId="86" priority="25" stopIfTrue="1" operator="between">
      <formula>TODAY()-730</formula>
      <formula>TODAY()-1095</formula>
    </cfRule>
  </conditionalFormatting>
  <conditionalFormatting sqref="C19:L20">
    <cfRule type="cellIs" dxfId="85" priority="32" operator="equal">
      <formula>"N"</formula>
    </cfRule>
  </conditionalFormatting>
  <conditionalFormatting sqref="C22:L22">
    <cfRule type="cellIs" dxfId="84" priority="29" operator="equal">
      <formula>"N"</formula>
    </cfRule>
  </conditionalFormatting>
  <conditionalFormatting sqref="C26:L26">
    <cfRule type="containsBlanks" priority="169" stopIfTrue="1">
      <formula>LEN(TRIM(C26))=0</formula>
    </cfRule>
    <cfRule type="cellIs" dxfId="83" priority="170" stopIfTrue="1" operator="lessThan">
      <formula>TODAY()-365</formula>
    </cfRule>
    <cfRule type="cellIs" dxfId="82" priority="171" stopIfTrue="1" operator="greaterThan">
      <formula>TODAY()-365</formula>
    </cfRule>
  </conditionalFormatting>
  <conditionalFormatting sqref="C27:L27">
    <cfRule type="cellIs" dxfId="81" priority="90" operator="equal">
      <formula>"N"</formula>
    </cfRule>
  </conditionalFormatting>
  <conditionalFormatting sqref="C29:L48 C50:L73">
    <cfRule type="cellIs" dxfId="80" priority="37" stopIfTrue="1" operator="equal">
      <formula>"NA"</formula>
    </cfRule>
  </conditionalFormatting>
  <conditionalFormatting sqref="C29:L48">
    <cfRule type="cellIs" dxfId="79" priority="77" stopIfTrue="1" operator="between">
      <formula>TODAY()-730</formula>
      <formula>TODAY()-1095</formula>
    </cfRule>
    <cfRule type="cellIs" dxfId="78" priority="76" stopIfTrue="1" operator="greaterThan">
      <formula>TODAY()-730</formula>
    </cfRule>
    <cfRule type="containsBlanks" priority="74" stopIfTrue="1">
      <formula>LEN(TRIM(C29))=0</formula>
    </cfRule>
    <cfRule type="cellIs" dxfId="77" priority="75" stopIfTrue="1" operator="lessThan">
      <formula>TODAY()-1095</formula>
    </cfRule>
  </conditionalFormatting>
  <conditionalFormatting sqref="C50:L71">
    <cfRule type="containsBlanks" priority="38" stopIfTrue="1">
      <formula>LEN(TRIM(C50))=0</formula>
    </cfRule>
    <cfRule type="cellIs" dxfId="76" priority="39" stopIfTrue="1" operator="lessThan">
      <formula>TODAY()-1095</formula>
    </cfRule>
    <cfRule type="cellIs" dxfId="75" priority="40" stopIfTrue="1" operator="greaterThan">
      <formula>TODAY()-730</formula>
    </cfRule>
    <cfRule type="cellIs" dxfId="74" priority="41" stopIfTrue="1" operator="between">
      <formula>TODAY()-730</formula>
      <formula>TODAY()-1095</formula>
    </cfRule>
  </conditionalFormatting>
  <conditionalFormatting sqref="C50:L73 C29:L48">
    <cfRule type="cellIs" dxfId="73" priority="36" stopIfTrue="1" operator="equal">
      <formula>"N/A"</formula>
    </cfRule>
  </conditionalFormatting>
  <conditionalFormatting sqref="C72:L72">
    <cfRule type="containsBlanks" priority="1" stopIfTrue="1">
      <formula>LEN(TRIM(C72))=0</formula>
    </cfRule>
    <cfRule type="cellIs" dxfId="72" priority="2" stopIfTrue="1" operator="lessThan">
      <formula>TODAY()-1095</formula>
    </cfRule>
    <cfRule type="cellIs" dxfId="71" priority="3" stopIfTrue="1" operator="greaterThan">
      <formula>TODAY()-730</formula>
    </cfRule>
    <cfRule type="cellIs" dxfId="70" priority="4" stopIfTrue="1" operator="between">
      <formula>TODAY()-730</formula>
      <formula>TODAY()-1095</formula>
    </cfRule>
  </conditionalFormatting>
  <conditionalFormatting sqref="C73:L73">
    <cfRule type="cellIs" dxfId="69" priority="57" stopIfTrue="1" operator="between">
      <formula>TODAY()-730</formula>
      <formula>TODAY()-1095</formula>
    </cfRule>
    <cfRule type="containsBlanks" priority="54" stopIfTrue="1">
      <formula>LEN(TRIM(C73))=0</formula>
    </cfRule>
    <cfRule type="cellIs" dxfId="68" priority="55" stopIfTrue="1" operator="lessThan">
      <formula>TODAY()-1095</formula>
    </cfRule>
    <cfRule type="cellIs" dxfId="67" priority="56" stopIfTrue="1" operator="greaterThan">
      <formula>TODAY()-730</formula>
    </cfRule>
  </conditionalFormatting>
  <conditionalFormatting sqref="N10:N15">
    <cfRule type="expression" dxfId="66" priority="28" stopIfTrue="1">
      <formula>M10&gt;0</formula>
    </cfRule>
  </conditionalFormatting>
  <conditionalFormatting sqref="N17:N20">
    <cfRule type="expression" dxfId="65" priority="26" stopIfTrue="1">
      <formula>M17&gt;0</formula>
    </cfRule>
  </conditionalFormatting>
  <conditionalFormatting sqref="N22">
    <cfRule type="expression" dxfId="64" priority="31" stopIfTrue="1">
      <formula>M22&gt;0</formula>
    </cfRule>
  </conditionalFormatting>
  <conditionalFormatting sqref="N24:N27">
    <cfRule type="expression" dxfId="63" priority="91" stopIfTrue="1">
      <formula>M24&gt;0</formula>
    </cfRule>
  </conditionalFormatting>
  <conditionalFormatting sqref="N29:N35">
    <cfRule type="expression" dxfId="62" priority="108" stopIfTrue="1">
      <formula>M29&gt;0</formula>
    </cfRule>
  </conditionalFormatting>
  <conditionalFormatting sqref="N37:N44">
    <cfRule type="expression" dxfId="61" priority="189" stopIfTrue="1">
      <formula>M37&gt;0</formula>
    </cfRule>
  </conditionalFormatting>
  <conditionalFormatting sqref="N47:N73">
    <cfRule type="expression" dxfId="60" priority="176" stopIfTrue="1">
      <formula>M47&gt;0</formula>
    </cfRule>
  </conditionalFormatting>
  <dataValidations disablePrompts="1" count="6">
    <dataValidation type="list" allowBlank="1" showInputMessage="1" showErrorMessage="1" sqref="C15:L15 C20:L20 C11:L12" xr:uid="{FA04105D-3B32-4C8E-BE8D-CEA3410BBA9C}">
      <formula1>"Y,N"</formula1>
    </dataValidation>
    <dataValidation type="date" allowBlank="1" showInputMessage="1" showErrorMessage="1" sqref="C29:L48 C18:L18 C26:L26 C50:L73" xr:uid="{BEFAC700-7D70-40C3-9AD2-2B52799DCB6F}">
      <formula1>36526</formula1>
      <formula2>117610</formula2>
    </dataValidation>
    <dataValidation type="list" allowBlank="1" showInputMessage="1" showErrorMessage="1" sqref="C27:L27 C19:L19 C22:L22 C17:L17 C13:L14 C24:L25" xr:uid="{01AF12C7-AD79-49B9-B586-5B111F5890B8}">
      <formula1>Response</formula1>
    </dataValidation>
    <dataValidation allowBlank="1" showInputMessage="1" showErrorMessage="1" sqref="N47:N74 N37:N44 N17:N20 N10:N15 N22 N24:N35" xr:uid="{E50D564C-026F-40D3-955D-85E1A112386E}"/>
    <dataValidation type="list" allowBlank="1" showInputMessage="1" showErrorMessage="1" sqref="C10:L10" xr:uid="{CB825F15-D659-47E8-A942-783083B78264}">
      <formula1>"Y,N, NA"</formula1>
    </dataValidation>
    <dataValidation type="list" allowBlank="1" showInputMessage="1" showErrorMessage="1" sqref="C7:L7" xr:uid="{AB719A26-9219-461A-B85D-6AC4BB5D3908}">
      <formula1>"AE,CDL,CSR,CSR SUP,CST,DM,LIAISON,LCM,LOC SUP,LSM,PAP SPECISLIST,PST,RN,RT,WHSE SUP, "</formula1>
    </dataValidation>
  </dataValidations>
  <pageMargins left="0.5" right="0.5" top="0.6" bottom="0.6" header="0.3" footer="0.3"/>
  <pageSetup scale="53" fitToHeight="0" orientation="landscape" r:id="rId1"/>
  <headerFooter>
    <oddFooter>&amp;LJC 427 Personnel Records Review&amp;CPage 1&amp;RREV 2026..01.05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E51F-ECF5-4469-AFBB-7FA7129F79C1}">
  <sheetPr>
    <pageSetUpPr fitToPage="1"/>
  </sheetPr>
  <dimension ref="A1:Q84"/>
  <sheetViews>
    <sheetView zoomScale="90" zoomScaleNormal="90" workbookViewId="0">
      <selection activeCell="C2" sqref="C2:L2"/>
    </sheetView>
  </sheetViews>
  <sheetFormatPr defaultRowHeight="11.25" x14ac:dyDescent="0.2"/>
  <cols>
    <col min="1" max="1" width="44.140625" style="27" customWidth="1"/>
    <col min="2" max="2" width="0.85546875" style="28" customWidth="1"/>
    <col min="3" max="5" width="11.5703125" style="28" customWidth="1"/>
    <col min="6" max="12" width="10.140625" style="28" bestFit="1" customWidth="1"/>
    <col min="13" max="13" width="10.5703125" style="27" customWidth="1"/>
    <col min="14" max="14" width="78.42578125" style="12" customWidth="1"/>
    <col min="15" max="16" width="7.42578125" style="12" bestFit="1" customWidth="1"/>
    <col min="17" max="17" width="3" style="12" bestFit="1" customWidth="1"/>
    <col min="18" max="18" width="13.140625" style="12" bestFit="1" customWidth="1"/>
    <col min="19" max="19" width="28.42578125" style="12" customWidth="1"/>
    <col min="20" max="16384" width="9.140625" style="12"/>
  </cols>
  <sheetData>
    <row r="1" spans="1:17" s="35" customFormat="1" ht="21.75" customHeight="1" x14ac:dyDescent="0.2">
      <c r="A1" s="134" t="s">
        <v>55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</row>
    <row r="2" spans="1:17" s="35" customFormat="1" ht="18.75" customHeight="1" x14ac:dyDescent="0.2">
      <c r="A2" s="137" t="s">
        <v>20</v>
      </c>
      <c r="B2" s="138"/>
      <c r="C2" s="141"/>
      <c r="D2" s="142"/>
      <c r="E2" s="142"/>
      <c r="F2" s="142"/>
      <c r="G2" s="142"/>
      <c r="H2" s="142"/>
      <c r="I2" s="142"/>
      <c r="J2" s="142"/>
      <c r="K2" s="142"/>
      <c r="L2" s="143"/>
      <c r="M2" s="33" t="s">
        <v>18</v>
      </c>
      <c r="N2" s="34"/>
    </row>
    <row r="3" spans="1:17" s="35" customFormat="1" ht="18.75" customHeight="1" x14ac:dyDescent="0.2">
      <c r="A3" s="139" t="s">
        <v>23</v>
      </c>
      <c r="B3" s="140"/>
      <c r="C3" s="144"/>
      <c r="D3" s="145"/>
      <c r="E3" s="145"/>
      <c r="F3" s="145"/>
      <c r="G3" s="145"/>
      <c r="H3" s="145"/>
      <c r="I3" s="145"/>
      <c r="J3" s="145"/>
      <c r="K3" s="145"/>
      <c r="L3" s="146"/>
      <c r="M3" s="33" t="s">
        <v>19</v>
      </c>
      <c r="N3" s="36"/>
    </row>
    <row r="4" spans="1:17" ht="5.45" customHeight="1" x14ac:dyDescent="0.25">
      <c r="A4" s="13"/>
      <c r="B4" s="5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7" s="18" customFormat="1" ht="110.25" customHeight="1" x14ac:dyDescent="0.25">
      <c r="A5" s="48" t="s">
        <v>17</v>
      </c>
      <c r="B5" s="16"/>
      <c r="C5" s="55"/>
      <c r="D5" s="9"/>
      <c r="E5" s="9"/>
      <c r="F5" s="9"/>
      <c r="G5" s="9"/>
      <c r="H5" s="9"/>
      <c r="I5" s="9"/>
      <c r="J5" s="9"/>
      <c r="K5" s="9"/>
      <c r="L5" s="11"/>
      <c r="M5" s="61"/>
      <c r="N5" s="62"/>
      <c r="O5" s="17"/>
      <c r="P5" s="17"/>
      <c r="Q5" s="17"/>
    </row>
    <row r="6" spans="1:17" s="18" customFormat="1" ht="5.45" customHeight="1" x14ac:dyDescent="0.25">
      <c r="A6" s="19"/>
      <c r="B6" s="86"/>
      <c r="C6" s="20"/>
      <c r="D6" s="20"/>
      <c r="E6" s="20"/>
      <c r="F6" s="20"/>
      <c r="G6" s="20"/>
      <c r="H6" s="20"/>
      <c r="I6" s="20"/>
      <c r="J6" s="20"/>
      <c r="K6" s="20"/>
      <c r="L6" s="63"/>
      <c r="M6" s="64"/>
      <c r="N6" s="114"/>
      <c r="O6" s="17"/>
      <c r="P6" s="17"/>
      <c r="Q6" s="17"/>
    </row>
    <row r="7" spans="1:17" ht="18.75" customHeight="1" x14ac:dyDescent="0.25">
      <c r="A7" s="49" t="s">
        <v>0</v>
      </c>
      <c r="B7" s="21"/>
      <c r="C7" s="45"/>
      <c r="D7" s="45"/>
      <c r="E7" s="45"/>
      <c r="F7" s="45"/>
      <c r="G7" s="45"/>
      <c r="H7" s="45"/>
      <c r="I7" s="45"/>
      <c r="J7" s="45"/>
      <c r="K7" s="45"/>
      <c r="L7" s="45"/>
      <c r="M7" s="61"/>
      <c r="N7" s="116"/>
    </row>
    <row r="8" spans="1:17" ht="18.75" customHeight="1" x14ac:dyDescent="0.25">
      <c r="A8" s="50" t="s">
        <v>1</v>
      </c>
      <c r="B8" s="21"/>
      <c r="C8" s="56"/>
      <c r="D8" s="37"/>
      <c r="E8" s="37"/>
      <c r="F8" s="37"/>
      <c r="G8" s="37"/>
      <c r="H8" s="37"/>
      <c r="I8" s="37"/>
      <c r="J8" s="37"/>
      <c r="K8" s="37"/>
      <c r="L8" s="37"/>
      <c r="M8" s="113"/>
      <c r="N8" s="117"/>
    </row>
    <row r="9" spans="1:17" s="35" customFormat="1" ht="18.600000000000001" customHeight="1" x14ac:dyDescent="0.2">
      <c r="A9" s="42" t="s">
        <v>7</v>
      </c>
      <c r="B9" s="93"/>
      <c r="C9" s="43"/>
      <c r="D9" s="43"/>
      <c r="E9" s="43"/>
      <c r="F9" s="43"/>
      <c r="G9" s="43"/>
      <c r="H9" s="43"/>
      <c r="I9" s="43"/>
      <c r="J9" s="43"/>
      <c r="K9" s="43"/>
      <c r="L9" s="43"/>
      <c r="M9" s="44" t="s">
        <v>4</v>
      </c>
      <c r="N9" s="115" t="s">
        <v>21</v>
      </c>
    </row>
    <row r="10" spans="1:17" ht="30" x14ac:dyDescent="0.2">
      <c r="A10" s="68" t="s">
        <v>107</v>
      </c>
      <c r="B10" s="7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2">
        <f t="shared" ref="M10:M15" si="0">COUNTIF((C10:L10),"N")</f>
        <v>0</v>
      </c>
      <c r="N10" s="78"/>
    </row>
    <row r="11" spans="1:17" ht="18.600000000000001" customHeight="1" x14ac:dyDescent="0.2">
      <c r="A11" s="68" t="s">
        <v>39</v>
      </c>
      <c r="B11" s="77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72">
        <f t="shared" si="0"/>
        <v>0</v>
      </c>
      <c r="N11" s="78"/>
    </row>
    <row r="12" spans="1:17" ht="25.5" customHeight="1" x14ac:dyDescent="0.2">
      <c r="A12" s="22" t="s">
        <v>104</v>
      </c>
      <c r="B12" s="77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46">
        <f t="shared" si="0"/>
        <v>0</v>
      </c>
      <c r="N12" s="40"/>
    </row>
    <row r="13" spans="1:17" ht="18.600000000000001" customHeight="1" x14ac:dyDescent="0.2">
      <c r="A13" s="22" t="s">
        <v>3</v>
      </c>
      <c r="B13" s="77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>
        <f t="shared" si="0"/>
        <v>0</v>
      </c>
      <c r="N13" s="40"/>
    </row>
    <row r="14" spans="1:17" ht="29.1" customHeight="1" x14ac:dyDescent="0.2">
      <c r="A14" s="22" t="s">
        <v>5</v>
      </c>
      <c r="B14" s="77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>
        <f t="shared" si="0"/>
        <v>0</v>
      </c>
      <c r="N14" s="95"/>
    </row>
    <row r="15" spans="1:17" ht="30" x14ac:dyDescent="0.2">
      <c r="A15" s="22" t="s">
        <v>67</v>
      </c>
      <c r="B15" s="77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46">
        <f t="shared" si="0"/>
        <v>0</v>
      </c>
      <c r="N15" s="40"/>
    </row>
    <row r="16" spans="1:17" ht="18.600000000000001" customHeight="1" x14ac:dyDescent="0.25">
      <c r="A16" s="24" t="s">
        <v>82</v>
      </c>
      <c r="B16" s="9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41"/>
    </row>
    <row r="17" spans="1:14" ht="15.75" x14ac:dyDescent="0.2">
      <c r="A17" s="75" t="s">
        <v>62</v>
      </c>
      <c r="B17" s="77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>
        <f>COUNTIF((C17:L17),"N")</f>
        <v>0</v>
      </c>
      <c r="N17" s="67"/>
    </row>
    <row r="18" spans="1:14" ht="30" x14ac:dyDescent="0.2">
      <c r="A18" s="75" t="s">
        <v>99</v>
      </c>
      <c r="B18" s="7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66"/>
      <c r="N18" s="95"/>
    </row>
    <row r="19" spans="1:14" ht="15.75" x14ac:dyDescent="0.2">
      <c r="A19" s="75" t="s">
        <v>40</v>
      </c>
      <c r="B19" s="77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6">
        <f>COUNTIF((C19:L19),"N")</f>
        <v>0</v>
      </c>
      <c r="N19" s="79" t="s">
        <v>106</v>
      </c>
    </row>
    <row r="20" spans="1:14" ht="55.5" customHeight="1" x14ac:dyDescent="0.2">
      <c r="A20" s="22" t="s">
        <v>81</v>
      </c>
      <c r="B20" s="77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46">
        <f>COUNTIF((C20:L20),"N")</f>
        <v>0</v>
      </c>
      <c r="N20" s="79"/>
    </row>
    <row r="21" spans="1:14" ht="18.600000000000001" customHeight="1" x14ac:dyDescent="0.25">
      <c r="A21" s="24" t="s">
        <v>83</v>
      </c>
      <c r="B21" s="92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41"/>
    </row>
    <row r="22" spans="1:14" ht="15.75" x14ac:dyDescent="0.2">
      <c r="A22" s="52" t="s">
        <v>22</v>
      </c>
      <c r="B22" s="91"/>
      <c r="C22" s="69"/>
      <c r="D22" s="70"/>
      <c r="E22" s="70"/>
      <c r="F22" s="70"/>
      <c r="G22" s="70"/>
      <c r="H22" s="70"/>
      <c r="I22" s="70"/>
      <c r="J22" s="70"/>
      <c r="K22" s="70"/>
      <c r="L22" s="71"/>
      <c r="M22" s="72">
        <f>COUNTIF((C22:L22),"N")</f>
        <v>0</v>
      </c>
      <c r="N22" s="78"/>
    </row>
    <row r="23" spans="1:14" ht="18.600000000000001" customHeight="1" x14ac:dyDescent="0.25">
      <c r="A23" s="24" t="s">
        <v>6</v>
      </c>
      <c r="B23" s="9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41"/>
    </row>
    <row r="24" spans="1:14" ht="27" customHeight="1" x14ac:dyDescent="0.2">
      <c r="A24" s="68" t="s">
        <v>92</v>
      </c>
      <c r="B24" s="91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2">
        <f>COUNTIF((C24:L24),"N")</f>
        <v>0</v>
      </c>
      <c r="N24" s="78"/>
    </row>
    <row r="25" spans="1:14" ht="120" x14ac:dyDescent="0.2">
      <c r="A25" s="75" t="s">
        <v>78</v>
      </c>
      <c r="B25" s="77"/>
      <c r="C25" s="69"/>
      <c r="D25" s="69"/>
      <c r="E25" s="69"/>
      <c r="F25" s="65"/>
      <c r="G25" s="65"/>
      <c r="H25" s="65"/>
      <c r="I25" s="65"/>
      <c r="J25" s="65"/>
      <c r="K25" s="65"/>
      <c r="L25" s="65"/>
      <c r="M25" s="66">
        <f>COUNTIF((C25:L25),"N")</f>
        <v>0</v>
      </c>
      <c r="N25" s="67"/>
    </row>
    <row r="26" spans="1:14" s="23" customFormat="1" ht="30" x14ac:dyDescent="0.2">
      <c r="A26" s="75" t="s">
        <v>74</v>
      </c>
      <c r="B26" s="126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66">
        <f>COUNTIF((C26:L26),"N")</f>
        <v>0</v>
      </c>
      <c r="N26" s="67"/>
    </row>
    <row r="27" spans="1:14" ht="45" x14ac:dyDescent="0.2">
      <c r="A27" s="75" t="s">
        <v>63</v>
      </c>
      <c r="B27" s="7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6">
        <f>COUNTIF((C27:L27),"N")</f>
        <v>0</v>
      </c>
      <c r="N27" s="67"/>
    </row>
    <row r="28" spans="1:14" s="23" customFormat="1" ht="57" x14ac:dyDescent="0.25">
      <c r="A28" s="132" t="s">
        <v>68</v>
      </c>
      <c r="B28" s="90"/>
      <c r="C28" s="84" t="s">
        <v>73</v>
      </c>
      <c r="D28" s="84" t="s">
        <v>73</v>
      </c>
      <c r="E28" s="84" t="s">
        <v>73</v>
      </c>
      <c r="F28" s="84" t="s">
        <v>73</v>
      </c>
      <c r="G28" s="84" t="s">
        <v>73</v>
      </c>
      <c r="H28" s="84" t="s">
        <v>73</v>
      </c>
      <c r="I28" s="84" t="s">
        <v>73</v>
      </c>
      <c r="J28" s="84" t="s">
        <v>73</v>
      </c>
      <c r="K28" s="84" t="s">
        <v>73</v>
      </c>
      <c r="L28" s="84" t="s">
        <v>73</v>
      </c>
      <c r="M28" s="82"/>
      <c r="N28" s="83" t="s">
        <v>97</v>
      </c>
    </row>
    <row r="29" spans="1:14" ht="18.600000000000001" customHeight="1" x14ac:dyDescent="0.25">
      <c r="A29" s="51" t="s">
        <v>76</v>
      </c>
      <c r="B29" s="31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59"/>
      <c r="N29" s="80"/>
    </row>
    <row r="30" spans="1:14" ht="18.600000000000001" customHeight="1" x14ac:dyDescent="0.25">
      <c r="A30" s="53" t="s">
        <v>72</v>
      </c>
      <c r="B30" s="31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60"/>
      <c r="N30" s="80"/>
    </row>
    <row r="31" spans="1:14" ht="18.600000000000001" customHeight="1" x14ac:dyDescent="0.25">
      <c r="A31" s="51" t="s">
        <v>41</v>
      </c>
      <c r="B31" s="3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60"/>
      <c r="N31" s="39"/>
    </row>
    <row r="32" spans="1:14" ht="18.600000000000001" customHeight="1" x14ac:dyDescent="0.25">
      <c r="A32" s="51" t="s">
        <v>42</v>
      </c>
      <c r="B32" s="3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60"/>
      <c r="N32" s="39"/>
    </row>
    <row r="33" spans="1:14" ht="18.600000000000001" customHeight="1" x14ac:dyDescent="0.25">
      <c r="A33" s="51" t="s">
        <v>43</v>
      </c>
      <c r="B33" s="31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60"/>
      <c r="N33" s="39"/>
    </row>
    <row r="34" spans="1:14" ht="18.600000000000001" customHeight="1" x14ac:dyDescent="0.25">
      <c r="A34" s="51" t="s">
        <v>44</v>
      </c>
      <c r="B34" s="31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60"/>
      <c r="N34" s="39"/>
    </row>
    <row r="35" spans="1:14" ht="18.600000000000001" customHeight="1" x14ac:dyDescent="0.25">
      <c r="A35" s="51" t="s">
        <v>45</v>
      </c>
      <c r="B35" s="31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60"/>
      <c r="N35" s="39"/>
    </row>
    <row r="36" spans="1:14" ht="18.600000000000001" customHeight="1" x14ac:dyDescent="0.25">
      <c r="A36" s="51" t="s">
        <v>46</v>
      </c>
      <c r="B36" s="1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60"/>
      <c r="N36" s="39"/>
    </row>
    <row r="37" spans="1:14" ht="18.600000000000001" customHeight="1" x14ac:dyDescent="0.25">
      <c r="A37" s="51" t="s">
        <v>47</v>
      </c>
      <c r="B37" s="31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60"/>
      <c r="N37" s="39"/>
    </row>
    <row r="38" spans="1:14" ht="18.600000000000001" customHeight="1" x14ac:dyDescent="0.25">
      <c r="A38" s="51" t="s">
        <v>56</v>
      </c>
      <c r="B38" s="31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60"/>
      <c r="N38" s="39"/>
    </row>
    <row r="39" spans="1:14" ht="18.600000000000001" customHeight="1" x14ac:dyDescent="0.25">
      <c r="A39" s="51" t="s">
        <v>48</v>
      </c>
      <c r="B39" s="31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60"/>
      <c r="N39" s="39"/>
    </row>
    <row r="40" spans="1:14" ht="18.600000000000001" customHeight="1" x14ac:dyDescent="0.25">
      <c r="A40" s="51" t="s">
        <v>49</v>
      </c>
      <c r="B40" s="31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60"/>
      <c r="N40" s="39"/>
    </row>
    <row r="41" spans="1:14" ht="18.600000000000001" customHeight="1" x14ac:dyDescent="0.25">
      <c r="A41" s="22" t="s">
        <v>71</v>
      </c>
      <c r="B41" s="31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60"/>
      <c r="N41" s="81" t="s">
        <v>77</v>
      </c>
    </row>
    <row r="42" spans="1:14" ht="18.600000000000001" customHeight="1" x14ac:dyDescent="0.25">
      <c r="A42" s="51" t="s">
        <v>57</v>
      </c>
      <c r="B42" s="31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60"/>
      <c r="N42" s="39"/>
    </row>
    <row r="43" spans="1:14" ht="18.600000000000001" customHeight="1" x14ac:dyDescent="0.25">
      <c r="A43" s="51" t="s">
        <v>50</v>
      </c>
      <c r="B43" s="31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60"/>
      <c r="N43" s="39"/>
    </row>
    <row r="44" spans="1:14" ht="18.600000000000001" customHeight="1" x14ac:dyDescent="0.25">
      <c r="A44" s="22" t="s">
        <v>108</v>
      </c>
      <c r="B44" s="31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60"/>
      <c r="N44" s="81" t="s">
        <v>77</v>
      </c>
    </row>
    <row r="45" spans="1:14" ht="18.600000000000001" customHeight="1" x14ac:dyDescent="0.25">
      <c r="A45" s="51" t="s">
        <v>51</v>
      </c>
      <c r="B45" s="3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60"/>
      <c r="N45" s="39"/>
    </row>
    <row r="46" spans="1:14" ht="18.600000000000001" customHeight="1" x14ac:dyDescent="0.25">
      <c r="A46" s="51" t="s">
        <v>52</v>
      </c>
      <c r="B46" s="3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60"/>
      <c r="N46" s="39"/>
    </row>
    <row r="47" spans="1:14" ht="18.600000000000001" customHeight="1" x14ac:dyDescent="0.25">
      <c r="A47" s="22" t="s">
        <v>53</v>
      </c>
      <c r="B47" s="3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60"/>
      <c r="N47" s="39"/>
    </row>
    <row r="48" spans="1:14" ht="18.600000000000001" customHeight="1" x14ac:dyDescent="0.25">
      <c r="A48" s="22" t="s">
        <v>58</v>
      </c>
      <c r="B48" s="31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60"/>
      <c r="N48" s="39"/>
    </row>
    <row r="49" spans="1:14" s="23" customFormat="1" ht="40.700000000000003" customHeight="1" x14ac:dyDescent="0.25">
      <c r="A49" s="131" t="s">
        <v>54</v>
      </c>
      <c r="B49" s="89"/>
      <c r="C49" s="84" t="s">
        <v>73</v>
      </c>
      <c r="D49" s="84" t="s">
        <v>73</v>
      </c>
      <c r="E49" s="84" t="s">
        <v>73</v>
      </c>
      <c r="F49" s="84" t="s">
        <v>73</v>
      </c>
      <c r="G49" s="84" t="s">
        <v>73</v>
      </c>
      <c r="H49" s="84" t="s">
        <v>73</v>
      </c>
      <c r="I49" s="84" t="s">
        <v>73</v>
      </c>
      <c r="J49" s="84" t="s">
        <v>73</v>
      </c>
      <c r="K49" s="84" t="s">
        <v>73</v>
      </c>
      <c r="L49" s="84" t="s">
        <v>73</v>
      </c>
      <c r="M49" s="84"/>
      <c r="N49" s="10" t="s">
        <v>98</v>
      </c>
    </row>
    <row r="50" spans="1:14" ht="18.600000000000001" customHeight="1" x14ac:dyDescent="0.25">
      <c r="A50" s="52" t="s">
        <v>25</v>
      </c>
      <c r="B50" s="3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60"/>
      <c r="N50" s="81"/>
    </row>
    <row r="51" spans="1:14" ht="18.600000000000001" customHeight="1" x14ac:dyDescent="0.25">
      <c r="A51" s="51" t="s">
        <v>65</v>
      </c>
      <c r="B51" s="31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60"/>
      <c r="N51" s="81"/>
    </row>
    <row r="52" spans="1:14" ht="18.600000000000001" customHeight="1" x14ac:dyDescent="0.25">
      <c r="A52" s="51" t="s">
        <v>26</v>
      </c>
      <c r="B52" s="31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60"/>
      <c r="N52" s="39"/>
    </row>
    <row r="53" spans="1:14" ht="18.600000000000001" customHeight="1" x14ac:dyDescent="0.25">
      <c r="A53" s="53" t="s">
        <v>27</v>
      </c>
      <c r="B53" s="31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60"/>
      <c r="N53" s="39"/>
    </row>
    <row r="54" spans="1:14" ht="18.600000000000001" customHeight="1" x14ac:dyDescent="0.25">
      <c r="A54" s="53" t="s">
        <v>69</v>
      </c>
      <c r="B54" s="31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60"/>
      <c r="N54" s="39"/>
    </row>
    <row r="55" spans="1:14" ht="18.600000000000001" customHeight="1" x14ac:dyDescent="0.25">
      <c r="A55" s="51" t="s">
        <v>105</v>
      </c>
      <c r="B55" s="16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60"/>
      <c r="N55" s="39"/>
    </row>
    <row r="56" spans="1:14" ht="18.600000000000001" customHeight="1" x14ac:dyDescent="0.25">
      <c r="A56" s="51" t="s">
        <v>35</v>
      </c>
      <c r="B56" s="1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60"/>
      <c r="N56" s="39"/>
    </row>
    <row r="57" spans="1:14" ht="18.600000000000001" customHeight="1" x14ac:dyDescent="0.25">
      <c r="A57" s="94" t="s">
        <v>28</v>
      </c>
      <c r="B57" s="16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60"/>
      <c r="N57" s="39"/>
    </row>
    <row r="58" spans="1:14" ht="18.600000000000001" customHeight="1" x14ac:dyDescent="0.25">
      <c r="A58" s="51" t="s">
        <v>59</v>
      </c>
      <c r="B58" s="1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60"/>
      <c r="N58" s="39"/>
    </row>
    <row r="59" spans="1:14" ht="18.600000000000001" customHeight="1" x14ac:dyDescent="0.25">
      <c r="A59" s="51" t="s">
        <v>29</v>
      </c>
      <c r="B59" s="16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60"/>
      <c r="N59" s="39"/>
    </row>
    <row r="60" spans="1:14" ht="18.600000000000001" customHeight="1" x14ac:dyDescent="0.25">
      <c r="A60" s="51" t="s">
        <v>60</v>
      </c>
      <c r="B60" s="16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60"/>
      <c r="N60" s="39"/>
    </row>
    <row r="61" spans="1:14" ht="18.600000000000001" customHeight="1" x14ac:dyDescent="0.25">
      <c r="A61" s="51" t="s">
        <v>70</v>
      </c>
      <c r="B61" s="16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60"/>
      <c r="N61" s="39"/>
    </row>
    <row r="62" spans="1:14" ht="18.600000000000001" customHeight="1" x14ac:dyDescent="0.25">
      <c r="A62" s="51" t="s">
        <v>36</v>
      </c>
      <c r="B62" s="16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60"/>
      <c r="N62" s="39"/>
    </row>
    <row r="63" spans="1:14" ht="18.600000000000001" customHeight="1" x14ac:dyDescent="0.25">
      <c r="A63" s="51" t="s">
        <v>37</v>
      </c>
      <c r="B63" s="16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60"/>
      <c r="N63" s="39"/>
    </row>
    <row r="64" spans="1:14" ht="18.600000000000001" customHeight="1" x14ac:dyDescent="0.25">
      <c r="A64" s="51" t="s">
        <v>38</v>
      </c>
      <c r="B64" s="1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60"/>
      <c r="N64" s="39"/>
    </row>
    <row r="65" spans="1:14" ht="18.600000000000001" customHeight="1" x14ac:dyDescent="0.25">
      <c r="A65" s="22" t="s">
        <v>30</v>
      </c>
      <c r="B65" s="16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60"/>
      <c r="N65" s="39"/>
    </row>
    <row r="66" spans="1:14" ht="18.600000000000001" customHeight="1" x14ac:dyDescent="0.25">
      <c r="A66" s="51" t="s">
        <v>31</v>
      </c>
      <c r="B66" s="16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60"/>
      <c r="N66" s="39"/>
    </row>
    <row r="67" spans="1:14" ht="18.600000000000001" customHeight="1" x14ac:dyDescent="0.25">
      <c r="A67" s="51" t="s">
        <v>32</v>
      </c>
      <c r="B67" s="16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60"/>
      <c r="N67" s="39"/>
    </row>
    <row r="68" spans="1:14" ht="18.600000000000001" customHeight="1" x14ac:dyDescent="0.25">
      <c r="A68" s="51" t="s">
        <v>111</v>
      </c>
      <c r="B68" s="16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60"/>
      <c r="N68" s="39"/>
    </row>
    <row r="69" spans="1:14" ht="18.600000000000001" customHeight="1" x14ac:dyDescent="0.25">
      <c r="A69" s="53" t="s">
        <v>102</v>
      </c>
      <c r="B69" s="16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60"/>
      <c r="N69" s="39"/>
    </row>
    <row r="70" spans="1:14" s="130" customFormat="1" ht="18.600000000000001" customHeight="1" x14ac:dyDescent="0.25">
      <c r="A70" s="128" t="s">
        <v>109</v>
      </c>
      <c r="B70" s="16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60"/>
      <c r="N70" s="81"/>
    </row>
    <row r="71" spans="1:14" s="130" customFormat="1" ht="18.600000000000001" customHeight="1" x14ac:dyDescent="0.25">
      <c r="A71" s="128" t="s">
        <v>103</v>
      </c>
      <c r="B71" s="16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60"/>
      <c r="N71" s="81"/>
    </row>
    <row r="72" spans="1:14" s="130" customFormat="1" ht="18.600000000000001" customHeight="1" x14ac:dyDescent="0.25">
      <c r="A72" s="128" t="s">
        <v>61</v>
      </c>
      <c r="B72" s="16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60"/>
      <c r="N72" s="81"/>
    </row>
    <row r="73" spans="1:14" s="130" customFormat="1" ht="18.600000000000001" customHeight="1" x14ac:dyDescent="0.25">
      <c r="A73" s="128" t="s">
        <v>61</v>
      </c>
      <c r="B73" s="16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60"/>
      <c r="N73" s="81"/>
    </row>
    <row r="74" spans="1:14" ht="5.45" customHeight="1" x14ac:dyDescent="0.25">
      <c r="A74" s="54"/>
      <c r="B74" s="87"/>
      <c r="C74" s="88"/>
      <c r="D74" s="25"/>
      <c r="E74" s="25"/>
      <c r="F74" s="25"/>
      <c r="G74" s="25"/>
      <c r="H74" s="25"/>
      <c r="I74" s="25"/>
      <c r="J74" s="25"/>
      <c r="K74" s="25"/>
      <c r="L74" s="25"/>
      <c r="M74" s="26"/>
      <c r="N74" s="38"/>
    </row>
    <row r="80" spans="1:14" x14ac:dyDescent="0.2">
      <c r="C80" s="29"/>
      <c r="D80" s="29"/>
    </row>
    <row r="81" spans="1:13" x14ac:dyDescent="0.2">
      <c r="C81" s="30"/>
      <c r="D81" s="30"/>
    </row>
    <row r="82" spans="1:13" x14ac:dyDescent="0.2">
      <c r="A82" s="12"/>
      <c r="B82" s="12"/>
      <c r="C82" s="30"/>
      <c r="D82" s="30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">
      <c r="A83" s="12"/>
      <c r="B83" s="12"/>
      <c r="C83" s="30"/>
      <c r="D83" s="30"/>
      <c r="E83" s="12"/>
      <c r="F83" s="12"/>
      <c r="G83" s="12"/>
      <c r="H83" s="12"/>
      <c r="I83" s="12"/>
      <c r="J83" s="12"/>
      <c r="K83" s="12"/>
      <c r="L83" s="12"/>
      <c r="M83" s="12"/>
    </row>
    <row r="84" spans="1:13" x14ac:dyDescent="0.2">
      <c r="A84" s="12"/>
      <c r="B84" s="12"/>
      <c r="C84" s="29"/>
      <c r="D84" s="29"/>
      <c r="E84" s="12"/>
      <c r="F84" s="12"/>
      <c r="G84" s="12"/>
      <c r="H84" s="12"/>
      <c r="I84" s="12"/>
      <c r="J84" s="12"/>
      <c r="K84" s="12"/>
      <c r="L84" s="12"/>
      <c r="M84" s="12"/>
    </row>
  </sheetData>
  <sheetProtection formatCells="0" selectLockedCells="1"/>
  <mergeCells count="5">
    <mergeCell ref="A1:N1"/>
    <mergeCell ref="A2:B2"/>
    <mergeCell ref="C2:L2"/>
    <mergeCell ref="A3:B3"/>
    <mergeCell ref="C3:L3"/>
  </mergeCells>
  <conditionalFormatting sqref="C10:L15 C17:L17 C24:L25">
    <cfRule type="cellIs" dxfId="59" priority="187" operator="equal">
      <formula>"N"</formula>
    </cfRule>
  </conditionalFormatting>
  <conditionalFormatting sqref="C18:L18">
    <cfRule type="containsBlanks" priority="33" stopIfTrue="1">
      <formula>LEN(TRIM(C18))=0</formula>
    </cfRule>
    <cfRule type="cellIs" dxfId="58" priority="34" stopIfTrue="1" operator="lessThan">
      <formula>TODAY()-1095</formula>
    </cfRule>
    <cfRule type="cellIs" dxfId="57" priority="35" stopIfTrue="1" operator="greaterThan">
      <formula>TODAY()-730</formula>
    </cfRule>
    <cfRule type="cellIs" dxfId="56" priority="25" stopIfTrue="1" operator="between">
      <formula>TODAY()-730</formula>
      <formula>TODAY()-1095</formula>
    </cfRule>
  </conditionalFormatting>
  <conditionalFormatting sqref="C19:L20">
    <cfRule type="cellIs" dxfId="55" priority="32" operator="equal">
      <formula>"N"</formula>
    </cfRule>
  </conditionalFormatting>
  <conditionalFormatting sqref="C22:L22">
    <cfRule type="cellIs" dxfId="54" priority="29" operator="equal">
      <formula>"N"</formula>
    </cfRule>
  </conditionalFormatting>
  <conditionalFormatting sqref="C26:L26">
    <cfRule type="containsBlanks" priority="169" stopIfTrue="1">
      <formula>LEN(TRIM(C26))=0</formula>
    </cfRule>
    <cfRule type="cellIs" dxfId="53" priority="170" stopIfTrue="1" operator="lessThan">
      <formula>TODAY()-365</formula>
    </cfRule>
    <cfRule type="cellIs" dxfId="52" priority="171" stopIfTrue="1" operator="greaterThan">
      <formula>TODAY()-365</formula>
    </cfRule>
  </conditionalFormatting>
  <conditionalFormatting sqref="C27:L27">
    <cfRule type="cellIs" dxfId="51" priority="90" operator="equal">
      <formula>"N"</formula>
    </cfRule>
  </conditionalFormatting>
  <conditionalFormatting sqref="C29:L48 C50:L73">
    <cfRule type="cellIs" dxfId="50" priority="37" stopIfTrue="1" operator="equal">
      <formula>"NA"</formula>
    </cfRule>
  </conditionalFormatting>
  <conditionalFormatting sqref="C29:L48">
    <cfRule type="cellIs" dxfId="49" priority="77" stopIfTrue="1" operator="between">
      <formula>TODAY()-730</formula>
      <formula>TODAY()-1095</formula>
    </cfRule>
    <cfRule type="cellIs" dxfId="48" priority="76" stopIfTrue="1" operator="greaterThan">
      <formula>TODAY()-730</formula>
    </cfRule>
    <cfRule type="containsBlanks" priority="74" stopIfTrue="1">
      <formula>LEN(TRIM(C29))=0</formula>
    </cfRule>
    <cfRule type="cellIs" dxfId="47" priority="75" stopIfTrue="1" operator="lessThan">
      <formula>TODAY()-1095</formula>
    </cfRule>
  </conditionalFormatting>
  <conditionalFormatting sqref="C50:L71">
    <cfRule type="containsBlanks" priority="38" stopIfTrue="1">
      <formula>LEN(TRIM(C50))=0</formula>
    </cfRule>
    <cfRule type="cellIs" dxfId="46" priority="39" stopIfTrue="1" operator="lessThan">
      <formula>TODAY()-1095</formula>
    </cfRule>
    <cfRule type="cellIs" dxfId="45" priority="40" stopIfTrue="1" operator="greaterThan">
      <formula>TODAY()-730</formula>
    </cfRule>
    <cfRule type="cellIs" dxfId="44" priority="41" stopIfTrue="1" operator="between">
      <formula>TODAY()-730</formula>
      <formula>TODAY()-1095</formula>
    </cfRule>
  </conditionalFormatting>
  <conditionalFormatting sqref="C50:L73 C29:L48">
    <cfRule type="cellIs" dxfId="43" priority="36" stopIfTrue="1" operator="equal">
      <formula>"N/A"</formula>
    </cfRule>
  </conditionalFormatting>
  <conditionalFormatting sqref="C72:L72">
    <cfRule type="containsBlanks" priority="1" stopIfTrue="1">
      <formula>LEN(TRIM(C72))=0</formula>
    </cfRule>
    <cfRule type="cellIs" dxfId="42" priority="2" stopIfTrue="1" operator="lessThan">
      <formula>TODAY()-1095</formula>
    </cfRule>
    <cfRule type="cellIs" dxfId="41" priority="3" stopIfTrue="1" operator="greaterThan">
      <formula>TODAY()-730</formula>
    </cfRule>
    <cfRule type="cellIs" dxfId="40" priority="4" stopIfTrue="1" operator="between">
      <formula>TODAY()-730</formula>
      <formula>TODAY()-1095</formula>
    </cfRule>
  </conditionalFormatting>
  <conditionalFormatting sqref="C73:L73">
    <cfRule type="cellIs" dxfId="39" priority="57" stopIfTrue="1" operator="between">
      <formula>TODAY()-730</formula>
      <formula>TODAY()-1095</formula>
    </cfRule>
    <cfRule type="containsBlanks" priority="54" stopIfTrue="1">
      <formula>LEN(TRIM(C73))=0</formula>
    </cfRule>
    <cfRule type="cellIs" dxfId="38" priority="55" stopIfTrue="1" operator="lessThan">
      <formula>TODAY()-1095</formula>
    </cfRule>
    <cfRule type="cellIs" dxfId="37" priority="56" stopIfTrue="1" operator="greaterThan">
      <formula>TODAY()-730</formula>
    </cfRule>
  </conditionalFormatting>
  <conditionalFormatting sqref="N10:N15">
    <cfRule type="expression" dxfId="36" priority="28" stopIfTrue="1">
      <formula>M10&gt;0</formula>
    </cfRule>
  </conditionalFormatting>
  <conditionalFormatting sqref="N17:N20">
    <cfRule type="expression" dxfId="35" priority="26" stopIfTrue="1">
      <formula>M17&gt;0</formula>
    </cfRule>
  </conditionalFormatting>
  <conditionalFormatting sqref="N22">
    <cfRule type="expression" dxfId="34" priority="31" stopIfTrue="1">
      <formula>M22&gt;0</formula>
    </cfRule>
  </conditionalFormatting>
  <conditionalFormatting sqref="N24:N27">
    <cfRule type="expression" dxfId="33" priority="91" stopIfTrue="1">
      <formula>M24&gt;0</formula>
    </cfRule>
  </conditionalFormatting>
  <conditionalFormatting sqref="N29:N35">
    <cfRule type="expression" dxfId="32" priority="108" stopIfTrue="1">
      <formula>M29&gt;0</formula>
    </cfRule>
  </conditionalFormatting>
  <conditionalFormatting sqref="N37:N44">
    <cfRule type="expression" dxfId="31" priority="189" stopIfTrue="1">
      <formula>M37&gt;0</formula>
    </cfRule>
  </conditionalFormatting>
  <conditionalFormatting sqref="N47:N73">
    <cfRule type="expression" dxfId="30" priority="176" stopIfTrue="1">
      <formula>M47&gt;0</formula>
    </cfRule>
  </conditionalFormatting>
  <dataValidations disablePrompts="1" count="6">
    <dataValidation type="list" allowBlank="1" showInputMessage="1" showErrorMessage="1" sqref="C15:L15 C20:L20 C11:L12" xr:uid="{8D97E466-8E9F-492F-A784-7469D2EDDBA4}">
      <formula1>"Y,N"</formula1>
    </dataValidation>
    <dataValidation type="date" allowBlank="1" showInputMessage="1" showErrorMessage="1" sqref="C29:L48 C18:L18 C26:L26 C50:L73" xr:uid="{5D9EE4CE-0152-48CB-B38C-A6BE8940000E}">
      <formula1>36526</formula1>
      <formula2>117610</formula2>
    </dataValidation>
    <dataValidation type="list" allowBlank="1" showInputMessage="1" showErrorMessage="1" sqref="C27:L27 C19:L19 C22:L22 C17:L17 C13:L14 C24:L25" xr:uid="{DB06A2E9-D94E-41E1-9F70-89F583C2FB5A}">
      <formula1>Response</formula1>
    </dataValidation>
    <dataValidation allowBlank="1" showInputMessage="1" showErrorMessage="1" sqref="N47:N74 N37:N44 N17:N20 N10:N15 N22 N24:N35" xr:uid="{4E67EF45-AAFB-4603-8092-C38626434E57}"/>
    <dataValidation type="list" allowBlank="1" showInputMessage="1" showErrorMessage="1" sqref="C10:L10" xr:uid="{9F87B28D-D257-46D8-A046-1CE23D2393AE}">
      <formula1>"Y,N, NA"</formula1>
    </dataValidation>
    <dataValidation type="list" allowBlank="1" showInputMessage="1" showErrorMessage="1" sqref="C7:L7" xr:uid="{60F05F7F-4809-4485-8C52-30BB0714BF28}">
      <formula1>"AE,CDL,CSR,CSR SUP,CST,DM,LIAISON,LCM,LOC SUP,LSM,PAP SPECISLIST,PST,RN,RT,WHSE SUP, "</formula1>
    </dataValidation>
  </dataValidations>
  <pageMargins left="0.5" right="0.5" top="0.65" bottom="0.65" header="0.3" footer="0.3"/>
  <pageSetup scale="53" fitToHeight="0" orientation="landscape" r:id="rId1"/>
  <headerFooter>
    <oddFooter>&amp;LJC 427 Personnel Record Review&amp;CPage 1&amp;RREV 2026.01.05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D96C-DD6A-4473-A81A-943B5B4ACADB}">
  <sheetPr>
    <pageSetUpPr fitToPage="1"/>
  </sheetPr>
  <dimension ref="A1:Q84"/>
  <sheetViews>
    <sheetView zoomScale="90" zoomScaleNormal="90" workbookViewId="0">
      <selection activeCell="C2" sqref="C2:L2"/>
    </sheetView>
  </sheetViews>
  <sheetFormatPr defaultRowHeight="11.25" x14ac:dyDescent="0.2"/>
  <cols>
    <col min="1" max="1" width="44.140625" style="27" customWidth="1"/>
    <col min="2" max="2" width="0.85546875" style="28" customWidth="1"/>
    <col min="3" max="5" width="11.5703125" style="28" customWidth="1"/>
    <col min="6" max="12" width="10.140625" style="28" bestFit="1" customWidth="1"/>
    <col min="13" max="13" width="10.5703125" style="27" customWidth="1"/>
    <col min="14" max="14" width="78.42578125" style="12" customWidth="1"/>
    <col min="15" max="16" width="7.42578125" style="12" bestFit="1" customWidth="1"/>
    <col min="17" max="17" width="3" style="12" bestFit="1" customWidth="1"/>
    <col min="18" max="18" width="13.140625" style="12" bestFit="1" customWidth="1"/>
    <col min="19" max="19" width="28.42578125" style="12" customWidth="1"/>
    <col min="20" max="16384" width="9.140625" style="12"/>
  </cols>
  <sheetData>
    <row r="1" spans="1:17" s="35" customFormat="1" ht="21.75" customHeight="1" x14ac:dyDescent="0.2">
      <c r="A1" s="134" t="s">
        <v>55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</row>
    <row r="2" spans="1:17" s="35" customFormat="1" ht="18.75" customHeight="1" x14ac:dyDescent="0.2">
      <c r="A2" s="137" t="s">
        <v>20</v>
      </c>
      <c r="B2" s="138"/>
      <c r="C2" s="141"/>
      <c r="D2" s="142"/>
      <c r="E2" s="142"/>
      <c r="F2" s="142"/>
      <c r="G2" s="142"/>
      <c r="H2" s="142"/>
      <c r="I2" s="142"/>
      <c r="J2" s="142"/>
      <c r="K2" s="142"/>
      <c r="L2" s="143"/>
      <c r="M2" s="33" t="s">
        <v>18</v>
      </c>
      <c r="N2" s="34"/>
    </row>
    <row r="3" spans="1:17" s="35" customFormat="1" ht="18.75" customHeight="1" x14ac:dyDescent="0.2">
      <c r="A3" s="139" t="s">
        <v>23</v>
      </c>
      <c r="B3" s="140"/>
      <c r="C3" s="144"/>
      <c r="D3" s="145"/>
      <c r="E3" s="145"/>
      <c r="F3" s="145"/>
      <c r="G3" s="145"/>
      <c r="H3" s="145"/>
      <c r="I3" s="145"/>
      <c r="J3" s="145"/>
      <c r="K3" s="145"/>
      <c r="L3" s="146"/>
      <c r="M3" s="33" t="s">
        <v>19</v>
      </c>
      <c r="N3" s="36"/>
    </row>
    <row r="4" spans="1:17" ht="5.45" customHeight="1" x14ac:dyDescent="0.25">
      <c r="A4" s="13"/>
      <c r="B4" s="5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7" s="18" customFormat="1" ht="110.25" customHeight="1" x14ac:dyDescent="0.25">
      <c r="A5" s="48" t="s">
        <v>17</v>
      </c>
      <c r="B5" s="16"/>
      <c r="C5" s="55"/>
      <c r="D5" s="9"/>
      <c r="E5" s="9"/>
      <c r="F5" s="9"/>
      <c r="G5" s="9"/>
      <c r="H5" s="9"/>
      <c r="I5" s="9"/>
      <c r="J5" s="9"/>
      <c r="K5" s="9"/>
      <c r="L5" s="11"/>
      <c r="M5" s="61"/>
      <c r="N5" s="62"/>
      <c r="O5" s="17"/>
      <c r="P5" s="17"/>
      <c r="Q5" s="17"/>
    </row>
    <row r="6" spans="1:17" s="18" customFormat="1" ht="5.45" customHeight="1" x14ac:dyDescent="0.25">
      <c r="A6" s="19"/>
      <c r="B6" s="86"/>
      <c r="C6" s="20"/>
      <c r="D6" s="20"/>
      <c r="E6" s="20"/>
      <c r="F6" s="20"/>
      <c r="G6" s="20"/>
      <c r="H6" s="20"/>
      <c r="I6" s="20"/>
      <c r="J6" s="20"/>
      <c r="K6" s="20"/>
      <c r="L6" s="63"/>
      <c r="M6" s="64"/>
      <c r="N6" s="114"/>
      <c r="O6" s="17"/>
      <c r="P6" s="17"/>
      <c r="Q6" s="17"/>
    </row>
    <row r="7" spans="1:17" ht="18.75" customHeight="1" x14ac:dyDescent="0.25">
      <c r="A7" s="49" t="s">
        <v>0</v>
      </c>
      <c r="B7" s="21"/>
      <c r="C7" s="45"/>
      <c r="D7" s="45"/>
      <c r="E7" s="45"/>
      <c r="F7" s="45"/>
      <c r="G7" s="45"/>
      <c r="H7" s="45"/>
      <c r="I7" s="45"/>
      <c r="J7" s="45"/>
      <c r="K7" s="45"/>
      <c r="L7" s="45"/>
      <c r="M7" s="61"/>
      <c r="N7" s="116"/>
    </row>
    <row r="8" spans="1:17" ht="18.75" customHeight="1" x14ac:dyDescent="0.25">
      <c r="A8" s="50" t="s">
        <v>1</v>
      </c>
      <c r="B8" s="21"/>
      <c r="C8" s="56"/>
      <c r="D8" s="37"/>
      <c r="E8" s="37"/>
      <c r="F8" s="37"/>
      <c r="G8" s="37"/>
      <c r="H8" s="37"/>
      <c r="I8" s="37"/>
      <c r="J8" s="37"/>
      <c r="K8" s="37"/>
      <c r="L8" s="37"/>
      <c r="M8" s="113"/>
      <c r="N8" s="117"/>
    </row>
    <row r="9" spans="1:17" s="35" customFormat="1" ht="18.600000000000001" customHeight="1" x14ac:dyDescent="0.2">
      <c r="A9" s="42" t="s">
        <v>7</v>
      </c>
      <c r="B9" s="93"/>
      <c r="C9" s="43"/>
      <c r="D9" s="43"/>
      <c r="E9" s="43"/>
      <c r="F9" s="43"/>
      <c r="G9" s="43"/>
      <c r="H9" s="43"/>
      <c r="I9" s="43"/>
      <c r="J9" s="43"/>
      <c r="K9" s="43"/>
      <c r="L9" s="43"/>
      <c r="M9" s="44" t="s">
        <v>4</v>
      </c>
      <c r="N9" s="115" t="s">
        <v>21</v>
      </c>
    </row>
    <row r="10" spans="1:17" ht="30" x14ac:dyDescent="0.2">
      <c r="A10" s="68" t="s">
        <v>107</v>
      </c>
      <c r="B10" s="77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72">
        <f t="shared" ref="M10:M15" si="0">COUNTIF((C10:L10),"N")</f>
        <v>0</v>
      </c>
      <c r="N10" s="78"/>
    </row>
    <row r="11" spans="1:17" ht="18.600000000000001" customHeight="1" x14ac:dyDescent="0.2">
      <c r="A11" s="68" t="s">
        <v>39</v>
      </c>
      <c r="B11" s="77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72">
        <f t="shared" si="0"/>
        <v>0</v>
      </c>
      <c r="N11" s="78"/>
    </row>
    <row r="12" spans="1:17" ht="25.5" customHeight="1" x14ac:dyDescent="0.2">
      <c r="A12" s="22" t="s">
        <v>104</v>
      </c>
      <c r="B12" s="77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46">
        <f t="shared" si="0"/>
        <v>0</v>
      </c>
      <c r="N12" s="40"/>
    </row>
    <row r="13" spans="1:17" ht="18.600000000000001" customHeight="1" x14ac:dyDescent="0.2">
      <c r="A13" s="22" t="s">
        <v>3</v>
      </c>
      <c r="B13" s="77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6">
        <f t="shared" si="0"/>
        <v>0</v>
      </c>
      <c r="N13" s="40"/>
    </row>
    <row r="14" spans="1:17" ht="29.1" customHeight="1" x14ac:dyDescent="0.2">
      <c r="A14" s="22" t="s">
        <v>5</v>
      </c>
      <c r="B14" s="77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6">
        <f t="shared" si="0"/>
        <v>0</v>
      </c>
      <c r="N14" s="95"/>
    </row>
    <row r="15" spans="1:17" ht="30" x14ac:dyDescent="0.2">
      <c r="A15" s="22" t="s">
        <v>67</v>
      </c>
      <c r="B15" s="77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46">
        <f t="shared" si="0"/>
        <v>0</v>
      </c>
      <c r="N15" s="40"/>
    </row>
    <row r="16" spans="1:17" ht="18.600000000000001" customHeight="1" x14ac:dyDescent="0.25">
      <c r="A16" s="24" t="s">
        <v>82</v>
      </c>
      <c r="B16" s="92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4"/>
      <c r="N16" s="41"/>
    </row>
    <row r="17" spans="1:14" ht="15.75" x14ac:dyDescent="0.2">
      <c r="A17" s="75" t="s">
        <v>62</v>
      </c>
      <c r="B17" s="77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>
        <f>COUNTIF((C17:L17),"N")</f>
        <v>0</v>
      </c>
      <c r="N17" s="67"/>
    </row>
    <row r="18" spans="1:14" ht="30" x14ac:dyDescent="0.2">
      <c r="A18" s="75" t="s">
        <v>99</v>
      </c>
      <c r="B18" s="7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66"/>
      <c r="N18" s="95"/>
    </row>
    <row r="19" spans="1:14" ht="15.75" x14ac:dyDescent="0.2">
      <c r="A19" s="75" t="s">
        <v>40</v>
      </c>
      <c r="B19" s="77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6">
        <f>COUNTIF((C19:L19),"N")</f>
        <v>0</v>
      </c>
      <c r="N19" s="79" t="s">
        <v>106</v>
      </c>
    </row>
    <row r="20" spans="1:14" ht="55.5" customHeight="1" x14ac:dyDescent="0.2">
      <c r="A20" s="22" t="s">
        <v>81</v>
      </c>
      <c r="B20" s="77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46">
        <f>COUNTIF((C20:L20),"N")</f>
        <v>0</v>
      </c>
      <c r="N20" s="79"/>
    </row>
    <row r="21" spans="1:14" ht="18.600000000000001" customHeight="1" x14ac:dyDescent="0.25">
      <c r="A21" s="24" t="s">
        <v>83</v>
      </c>
      <c r="B21" s="92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  <c r="N21" s="41"/>
    </row>
    <row r="22" spans="1:14" ht="15.75" x14ac:dyDescent="0.2">
      <c r="A22" s="52" t="s">
        <v>22</v>
      </c>
      <c r="B22" s="91"/>
      <c r="C22" s="69"/>
      <c r="D22" s="70"/>
      <c r="E22" s="70"/>
      <c r="F22" s="70"/>
      <c r="G22" s="70"/>
      <c r="H22" s="70"/>
      <c r="I22" s="70"/>
      <c r="J22" s="70"/>
      <c r="K22" s="70"/>
      <c r="L22" s="71"/>
      <c r="M22" s="72">
        <f>COUNTIF((C22:L22),"N")</f>
        <v>0</v>
      </c>
      <c r="N22" s="78"/>
    </row>
    <row r="23" spans="1:14" ht="18.600000000000001" customHeight="1" x14ac:dyDescent="0.25">
      <c r="A23" s="24" t="s">
        <v>6</v>
      </c>
      <c r="B23" s="92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4"/>
      <c r="N23" s="41"/>
    </row>
    <row r="24" spans="1:14" ht="27" customHeight="1" x14ac:dyDescent="0.2">
      <c r="A24" s="68" t="s">
        <v>92</v>
      </c>
      <c r="B24" s="91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2">
        <f>COUNTIF((C24:L24),"N")</f>
        <v>0</v>
      </c>
      <c r="N24" s="78"/>
    </row>
    <row r="25" spans="1:14" ht="120" x14ac:dyDescent="0.2">
      <c r="A25" s="75" t="s">
        <v>78</v>
      </c>
      <c r="B25" s="77"/>
      <c r="C25" s="69"/>
      <c r="D25" s="69"/>
      <c r="E25" s="69"/>
      <c r="F25" s="65"/>
      <c r="G25" s="65"/>
      <c r="H25" s="65"/>
      <c r="I25" s="65"/>
      <c r="J25" s="65"/>
      <c r="K25" s="65"/>
      <c r="L25" s="65"/>
      <c r="M25" s="66">
        <f>COUNTIF((C25:L25),"N")</f>
        <v>0</v>
      </c>
      <c r="N25" s="67"/>
    </row>
    <row r="26" spans="1:14" s="23" customFormat="1" ht="30" x14ac:dyDescent="0.2">
      <c r="A26" s="75" t="s">
        <v>74</v>
      </c>
      <c r="B26" s="126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66">
        <f>COUNTIF((C26:L26),"N")</f>
        <v>0</v>
      </c>
      <c r="N26" s="67"/>
    </row>
    <row r="27" spans="1:14" ht="45" x14ac:dyDescent="0.2">
      <c r="A27" s="75" t="s">
        <v>63</v>
      </c>
      <c r="B27" s="77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6">
        <f>COUNTIF((C27:L27),"N")</f>
        <v>0</v>
      </c>
      <c r="N27" s="67"/>
    </row>
    <row r="28" spans="1:14" s="23" customFormat="1" ht="57" x14ac:dyDescent="0.25">
      <c r="A28" s="132" t="s">
        <v>68</v>
      </c>
      <c r="B28" s="90"/>
      <c r="C28" s="84" t="s">
        <v>73</v>
      </c>
      <c r="D28" s="84" t="s">
        <v>73</v>
      </c>
      <c r="E28" s="84" t="s">
        <v>73</v>
      </c>
      <c r="F28" s="84" t="s">
        <v>73</v>
      </c>
      <c r="G28" s="84" t="s">
        <v>73</v>
      </c>
      <c r="H28" s="84" t="s">
        <v>73</v>
      </c>
      <c r="I28" s="84" t="s">
        <v>73</v>
      </c>
      <c r="J28" s="84" t="s">
        <v>73</v>
      </c>
      <c r="K28" s="84" t="s">
        <v>73</v>
      </c>
      <c r="L28" s="84" t="s">
        <v>73</v>
      </c>
      <c r="M28" s="82"/>
      <c r="N28" s="83" t="s">
        <v>97</v>
      </c>
    </row>
    <row r="29" spans="1:14" ht="18.600000000000001" customHeight="1" x14ac:dyDescent="0.25">
      <c r="A29" s="51" t="s">
        <v>76</v>
      </c>
      <c r="B29" s="31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59"/>
      <c r="N29" s="80"/>
    </row>
    <row r="30" spans="1:14" ht="18.600000000000001" customHeight="1" x14ac:dyDescent="0.25">
      <c r="A30" s="53" t="s">
        <v>72</v>
      </c>
      <c r="B30" s="31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60"/>
      <c r="N30" s="80"/>
    </row>
    <row r="31" spans="1:14" ht="18.600000000000001" customHeight="1" x14ac:dyDescent="0.25">
      <c r="A31" s="51" t="s">
        <v>41</v>
      </c>
      <c r="B31" s="31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60"/>
      <c r="N31" s="39"/>
    </row>
    <row r="32" spans="1:14" ht="18.600000000000001" customHeight="1" x14ac:dyDescent="0.25">
      <c r="A32" s="51" t="s">
        <v>42</v>
      </c>
      <c r="B32" s="3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60"/>
      <c r="N32" s="39"/>
    </row>
    <row r="33" spans="1:14" ht="18.600000000000001" customHeight="1" x14ac:dyDescent="0.25">
      <c r="A33" s="51" t="s">
        <v>43</v>
      </c>
      <c r="B33" s="31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60"/>
      <c r="N33" s="39"/>
    </row>
    <row r="34" spans="1:14" ht="18.600000000000001" customHeight="1" x14ac:dyDescent="0.25">
      <c r="A34" s="51" t="s">
        <v>44</v>
      </c>
      <c r="B34" s="31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60"/>
      <c r="N34" s="39"/>
    </row>
    <row r="35" spans="1:14" ht="18.600000000000001" customHeight="1" x14ac:dyDescent="0.25">
      <c r="A35" s="51" t="s">
        <v>45</v>
      </c>
      <c r="B35" s="31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60"/>
      <c r="N35" s="39"/>
    </row>
    <row r="36" spans="1:14" ht="18.600000000000001" customHeight="1" x14ac:dyDescent="0.25">
      <c r="A36" s="51" t="s">
        <v>46</v>
      </c>
      <c r="B36" s="1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60"/>
      <c r="N36" s="39"/>
    </row>
    <row r="37" spans="1:14" ht="18.600000000000001" customHeight="1" x14ac:dyDescent="0.25">
      <c r="A37" s="51" t="s">
        <v>47</v>
      </c>
      <c r="B37" s="31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60"/>
      <c r="N37" s="39"/>
    </row>
    <row r="38" spans="1:14" ht="18.600000000000001" customHeight="1" x14ac:dyDescent="0.25">
      <c r="A38" s="51" t="s">
        <v>56</v>
      </c>
      <c r="B38" s="31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60"/>
      <c r="N38" s="39"/>
    </row>
    <row r="39" spans="1:14" ht="18.600000000000001" customHeight="1" x14ac:dyDescent="0.25">
      <c r="A39" s="51" t="s">
        <v>48</v>
      </c>
      <c r="B39" s="31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60"/>
      <c r="N39" s="39"/>
    </row>
    <row r="40" spans="1:14" ht="18.600000000000001" customHeight="1" x14ac:dyDescent="0.25">
      <c r="A40" s="51" t="s">
        <v>49</v>
      </c>
      <c r="B40" s="31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60"/>
      <c r="N40" s="39"/>
    </row>
    <row r="41" spans="1:14" ht="18.600000000000001" customHeight="1" x14ac:dyDescent="0.25">
      <c r="A41" s="22" t="s">
        <v>71</v>
      </c>
      <c r="B41" s="31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60"/>
      <c r="N41" s="81" t="s">
        <v>77</v>
      </c>
    </row>
    <row r="42" spans="1:14" ht="18.600000000000001" customHeight="1" x14ac:dyDescent="0.25">
      <c r="A42" s="51" t="s">
        <v>57</v>
      </c>
      <c r="B42" s="31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60"/>
      <c r="N42" s="39"/>
    </row>
    <row r="43" spans="1:14" ht="18.600000000000001" customHeight="1" x14ac:dyDescent="0.25">
      <c r="A43" s="51" t="s">
        <v>50</v>
      </c>
      <c r="B43" s="31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60"/>
      <c r="N43" s="39"/>
    </row>
    <row r="44" spans="1:14" ht="18.600000000000001" customHeight="1" x14ac:dyDescent="0.25">
      <c r="A44" s="22" t="s">
        <v>108</v>
      </c>
      <c r="B44" s="31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60"/>
      <c r="N44" s="81" t="s">
        <v>77</v>
      </c>
    </row>
    <row r="45" spans="1:14" ht="18.600000000000001" customHeight="1" x14ac:dyDescent="0.25">
      <c r="A45" s="51" t="s">
        <v>51</v>
      </c>
      <c r="B45" s="3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60"/>
      <c r="N45" s="39"/>
    </row>
    <row r="46" spans="1:14" ht="18.600000000000001" customHeight="1" x14ac:dyDescent="0.25">
      <c r="A46" s="51" t="s">
        <v>52</v>
      </c>
      <c r="B46" s="3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60"/>
      <c r="N46" s="39"/>
    </row>
    <row r="47" spans="1:14" ht="18.600000000000001" customHeight="1" x14ac:dyDescent="0.25">
      <c r="A47" s="22" t="s">
        <v>53</v>
      </c>
      <c r="B47" s="32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60"/>
      <c r="N47" s="39"/>
    </row>
    <row r="48" spans="1:14" ht="18.600000000000001" customHeight="1" x14ac:dyDescent="0.25">
      <c r="A48" s="22" t="s">
        <v>58</v>
      </c>
      <c r="B48" s="31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60"/>
      <c r="N48" s="39"/>
    </row>
    <row r="49" spans="1:14" s="23" customFormat="1" ht="40.700000000000003" customHeight="1" x14ac:dyDescent="0.25">
      <c r="A49" s="131" t="s">
        <v>54</v>
      </c>
      <c r="B49" s="89"/>
      <c r="C49" s="84" t="s">
        <v>73</v>
      </c>
      <c r="D49" s="84" t="s">
        <v>73</v>
      </c>
      <c r="E49" s="84" t="s">
        <v>73</v>
      </c>
      <c r="F49" s="84" t="s">
        <v>73</v>
      </c>
      <c r="G49" s="84" t="s">
        <v>73</v>
      </c>
      <c r="H49" s="84" t="s">
        <v>73</v>
      </c>
      <c r="I49" s="84" t="s">
        <v>73</v>
      </c>
      <c r="J49" s="84" t="s">
        <v>73</v>
      </c>
      <c r="K49" s="84" t="s">
        <v>73</v>
      </c>
      <c r="L49" s="84" t="s">
        <v>73</v>
      </c>
      <c r="M49" s="84"/>
      <c r="N49" s="10" t="s">
        <v>98</v>
      </c>
    </row>
    <row r="50" spans="1:14" ht="18.600000000000001" customHeight="1" x14ac:dyDescent="0.25">
      <c r="A50" s="52" t="s">
        <v>25</v>
      </c>
      <c r="B50" s="31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60"/>
      <c r="N50" s="81"/>
    </row>
    <row r="51" spans="1:14" ht="18.600000000000001" customHeight="1" x14ac:dyDescent="0.25">
      <c r="A51" s="51" t="s">
        <v>65</v>
      </c>
      <c r="B51" s="31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60"/>
      <c r="N51" s="81"/>
    </row>
    <row r="52" spans="1:14" ht="18.600000000000001" customHeight="1" x14ac:dyDescent="0.25">
      <c r="A52" s="51" t="s">
        <v>26</v>
      </c>
      <c r="B52" s="31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60"/>
      <c r="N52" s="39"/>
    </row>
    <row r="53" spans="1:14" ht="18.600000000000001" customHeight="1" x14ac:dyDescent="0.25">
      <c r="A53" s="53" t="s">
        <v>27</v>
      </c>
      <c r="B53" s="31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60"/>
      <c r="N53" s="39"/>
    </row>
    <row r="54" spans="1:14" ht="18.600000000000001" customHeight="1" x14ac:dyDescent="0.25">
      <c r="A54" s="53" t="s">
        <v>69</v>
      </c>
      <c r="B54" s="31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60"/>
      <c r="N54" s="39"/>
    </row>
    <row r="55" spans="1:14" ht="18.600000000000001" customHeight="1" x14ac:dyDescent="0.25">
      <c r="A55" s="51" t="s">
        <v>105</v>
      </c>
      <c r="B55" s="16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60"/>
      <c r="N55" s="39"/>
    </row>
    <row r="56" spans="1:14" ht="18.600000000000001" customHeight="1" x14ac:dyDescent="0.25">
      <c r="A56" s="51" t="s">
        <v>35</v>
      </c>
      <c r="B56" s="1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60"/>
      <c r="N56" s="39"/>
    </row>
    <row r="57" spans="1:14" ht="18.600000000000001" customHeight="1" x14ac:dyDescent="0.25">
      <c r="A57" s="94" t="s">
        <v>28</v>
      </c>
      <c r="B57" s="16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60"/>
      <c r="N57" s="39"/>
    </row>
    <row r="58" spans="1:14" ht="18.600000000000001" customHeight="1" x14ac:dyDescent="0.25">
      <c r="A58" s="51" t="s">
        <v>59</v>
      </c>
      <c r="B58" s="1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60"/>
      <c r="N58" s="39"/>
    </row>
    <row r="59" spans="1:14" ht="18.600000000000001" customHeight="1" x14ac:dyDescent="0.25">
      <c r="A59" s="51" t="s">
        <v>29</v>
      </c>
      <c r="B59" s="16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60"/>
      <c r="N59" s="39"/>
    </row>
    <row r="60" spans="1:14" ht="18.600000000000001" customHeight="1" x14ac:dyDescent="0.25">
      <c r="A60" s="51" t="s">
        <v>60</v>
      </c>
      <c r="B60" s="16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60"/>
      <c r="N60" s="39"/>
    </row>
    <row r="61" spans="1:14" ht="18.600000000000001" customHeight="1" x14ac:dyDescent="0.25">
      <c r="A61" s="51" t="s">
        <v>70</v>
      </c>
      <c r="B61" s="16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60"/>
      <c r="N61" s="39"/>
    </row>
    <row r="62" spans="1:14" ht="18.600000000000001" customHeight="1" x14ac:dyDescent="0.25">
      <c r="A62" s="51" t="s">
        <v>36</v>
      </c>
      <c r="B62" s="16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60"/>
      <c r="N62" s="39"/>
    </row>
    <row r="63" spans="1:14" ht="18.600000000000001" customHeight="1" x14ac:dyDescent="0.25">
      <c r="A63" s="51" t="s">
        <v>37</v>
      </c>
      <c r="B63" s="16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60"/>
      <c r="N63" s="39"/>
    </row>
    <row r="64" spans="1:14" ht="18.600000000000001" customHeight="1" x14ac:dyDescent="0.25">
      <c r="A64" s="51" t="s">
        <v>38</v>
      </c>
      <c r="B64" s="1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60"/>
      <c r="N64" s="39"/>
    </row>
    <row r="65" spans="1:14" ht="18.600000000000001" customHeight="1" x14ac:dyDescent="0.25">
      <c r="A65" s="22" t="s">
        <v>30</v>
      </c>
      <c r="B65" s="16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60"/>
      <c r="N65" s="39"/>
    </row>
    <row r="66" spans="1:14" ht="18.600000000000001" customHeight="1" x14ac:dyDescent="0.25">
      <c r="A66" s="51" t="s">
        <v>31</v>
      </c>
      <c r="B66" s="16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60"/>
      <c r="N66" s="39"/>
    </row>
    <row r="67" spans="1:14" ht="18.600000000000001" customHeight="1" x14ac:dyDescent="0.25">
      <c r="A67" s="51" t="s">
        <v>32</v>
      </c>
      <c r="B67" s="16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60"/>
      <c r="N67" s="39"/>
    </row>
    <row r="68" spans="1:14" ht="18.600000000000001" customHeight="1" x14ac:dyDescent="0.25">
      <c r="A68" s="51" t="s">
        <v>111</v>
      </c>
      <c r="B68" s="16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60"/>
      <c r="N68" s="39"/>
    </row>
    <row r="69" spans="1:14" ht="18.600000000000001" customHeight="1" x14ac:dyDescent="0.25">
      <c r="A69" s="53" t="s">
        <v>102</v>
      </c>
      <c r="B69" s="16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60"/>
      <c r="N69" s="39"/>
    </row>
    <row r="70" spans="1:14" s="130" customFormat="1" ht="18.600000000000001" customHeight="1" x14ac:dyDescent="0.25">
      <c r="A70" s="128" t="s">
        <v>109</v>
      </c>
      <c r="B70" s="16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60"/>
      <c r="N70" s="81"/>
    </row>
    <row r="71" spans="1:14" s="130" customFormat="1" ht="18.600000000000001" customHeight="1" x14ac:dyDescent="0.25">
      <c r="A71" s="128" t="s">
        <v>103</v>
      </c>
      <c r="B71" s="16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60"/>
      <c r="N71" s="81"/>
    </row>
    <row r="72" spans="1:14" s="130" customFormat="1" ht="18.600000000000001" customHeight="1" x14ac:dyDescent="0.25">
      <c r="A72" s="128" t="s">
        <v>61</v>
      </c>
      <c r="B72" s="16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60"/>
      <c r="N72" s="81"/>
    </row>
    <row r="73" spans="1:14" s="130" customFormat="1" ht="18.600000000000001" customHeight="1" x14ac:dyDescent="0.25">
      <c r="A73" s="128" t="s">
        <v>61</v>
      </c>
      <c r="B73" s="16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60"/>
      <c r="N73" s="81"/>
    </row>
    <row r="74" spans="1:14" ht="5.45" customHeight="1" x14ac:dyDescent="0.25">
      <c r="A74" s="54"/>
      <c r="B74" s="87"/>
      <c r="C74" s="88"/>
      <c r="D74" s="25"/>
      <c r="E74" s="25"/>
      <c r="F74" s="25"/>
      <c r="G74" s="25"/>
      <c r="H74" s="25"/>
      <c r="I74" s="25"/>
      <c r="J74" s="25"/>
      <c r="K74" s="25"/>
      <c r="L74" s="25"/>
      <c r="M74" s="26"/>
      <c r="N74" s="38"/>
    </row>
    <row r="80" spans="1:14" x14ac:dyDescent="0.2">
      <c r="C80" s="29"/>
      <c r="D80" s="29"/>
    </row>
    <row r="81" spans="1:13" x14ac:dyDescent="0.2">
      <c r="C81" s="30"/>
      <c r="D81" s="30"/>
    </row>
    <row r="82" spans="1:13" x14ac:dyDescent="0.2">
      <c r="A82" s="12"/>
      <c r="B82" s="12"/>
      <c r="C82" s="30"/>
      <c r="D82" s="30"/>
      <c r="E82" s="12"/>
      <c r="F82" s="12"/>
      <c r="G82" s="12"/>
      <c r="H82" s="12"/>
      <c r="I82" s="12"/>
      <c r="J82" s="12"/>
      <c r="K82" s="12"/>
      <c r="L82" s="12"/>
      <c r="M82" s="12"/>
    </row>
    <row r="83" spans="1:13" x14ac:dyDescent="0.2">
      <c r="A83" s="12"/>
      <c r="B83" s="12"/>
      <c r="C83" s="30"/>
      <c r="D83" s="30"/>
      <c r="E83" s="12"/>
      <c r="F83" s="12"/>
      <c r="G83" s="12"/>
      <c r="H83" s="12"/>
      <c r="I83" s="12"/>
      <c r="J83" s="12"/>
      <c r="K83" s="12"/>
      <c r="L83" s="12"/>
      <c r="M83" s="12"/>
    </row>
    <row r="84" spans="1:13" x14ac:dyDescent="0.2">
      <c r="A84" s="12"/>
      <c r="B84" s="12"/>
      <c r="C84" s="29"/>
      <c r="D84" s="29"/>
      <c r="E84" s="12"/>
      <c r="F84" s="12"/>
      <c r="G84" s="12"/>
      <c r="H84" s="12"/>
      <c r="I84" s="12"/>
      <c r="J84" s="12"/>
      <c r="K84" s="12"/>
      <c r="L84" s="12"/>
      <c r="M84" s="12"/>
    </row>
  </sheetData>
  <sheetProtection formatCells="0" selectLockedCells="1"/>
  <mergeCells count="5">
    <mergeCell ref="A1:N1"/>
    <mergeCell ref="A2:B2"/>
    <mergeCell ref="C2:L2"/>
    <mergeCell ref="A3:B3"/>
    <mergeCell ref="C3:L3"/>
  </mergeCells>
  <conditionalFormatting sqref="C10:L15 C17:L17 C24:L25">
    <cfRule type="cellIs" dxfId="29" priority="187" operator="equal">
      <formula>"N"</formula>
    </cfRule>
  </conditionalFormatting>
  <conditionalFormatting sqref="C18:L18">
    <cfRule type="containsBlanks" priority="33" stopIfTrue="1">
      <formula>LEN(TRIM(C18))=0</formula>
    </cfRule>
    <cfRule type="cellIs" dxfId="28" priority="34" stopIfTrue="1" operator="lessThan">
      <formula>TODAY()-1095</formula>
    </cfRule>
    <cfRule type="cellIs" dxfId="27" priority="35" stopIfTrue="1" operator="greaterThan">
      <formula>TODAY()-730</formula>
    </cfRule>
    <cfRule type="cellIs" dxfId="26" priority="25" stopIfTrue="1" operator="between">
      <formula>TODAY()-730</formula>
      <formula>TODAY()-1095</formula>
    </cfRule>
  </conditionalFormatting>
  <conditionalFormatting sqref="C19:L20">
    <cfRule type="cellIs" dxfId="25" priority="32" operator="equal">
      <formula>"N"</formula>
    </cfRule>
  </conditionalFormatting>
  <conditionalFormatting sqref="C22:L22">
    <cfRule type="cellIs" dxfId="24" priority="29" operator="equal">
      <formula>"N"</formula>
    </cfRule>
  </conditionalFormatting>
  <conditionalFormatting sqref="C26:L26">
    <cfRule type="containsBlanks" priority="169" stopIfTrue="1">
      <formula>LEN(TRIM(C26))=0</formula>
    </cfRule>
    <cfRule type="cellIs" dxfId="23" priority="170" stopIfTrue="1" operator="lessThan">
      <formula>TODAY()-365</formula>
    </cfRule>
    <cfRule type="cellIs" dxfId="22" priority="171" stopIfTrue="1" operator="greaterThan">
      <formula>TODAY()-365</formula>
    </cfRule>
  </conditionalFormatting>
  <conditionalFormatting sqref="C27:L27">
    <cfRule type="cellIs" dxfId="21" priority="90" operator="equal">
      <formula>"N"</formula>
    </cfRule>
  </conditionalFormatting>
  <conditionalFormatting sqref="C29:L48 C50:L73">
    <cfRule type="cellIs" dxfId="20" priority="37" stopIfTrue="1" operator="equal">
      <formula>"NA"</formula>
    </cfRule>
  </conditionalFormatting>
  <conditionalFormatting sqref="C29:L48">
    <cfRule type="cellIs" dxfId="19" priority="77" stopIfTrue="1" operator="between">
      <formula>TODAY()-730</formula>
      <formula>TODAY()-1095</formula>
    </cfRule>
    <cfRule type="cellIs" dxfId="18" priority="76" stopIfTrue="1" operator="greaterThan">
      <formula>TODAY()-730</formula>
    </cfRule>
    <cfRule type="containsBlanks" priority="74" stopIfTrue="1">
      <formula>LEN(TRIM(C29))=0</formula>
    </cfRule>
    <cfRule type="cellIs" dxfId="17" priority="75" stopIfTrue="1" operator="lessThan">
      <formula>TODAY()-1095</formula>
    </cfRule>
  </conditionalFormatting>
  <conditionalFormatting sqref="C50:L71">
    <cfRule type="containsBlanks" priority="38" stopIfTrue="1">
      <formula>LEN(TRIM(C50))=0</formula>
    </cfRule>
    <cfRule type="cellIs" dxfId="16" priority="39" stopIfTrue="1" operator="lessThan">
      <formula>TODAY()-1095</formula>
    </cfRule>
    <cfRule type="cellIs" dxfId="15" priority="40" stopIfTrue="1" operator="greaterThan">
      <formula>TODAY()-730</formula>
    </cfRule>
    <cfRule type="cellIs" dxfId="14" priority="41" stopIfTrue="1" operator="between">
      <formula>TODAY()-730</formula>
      <formula>TODAY()-1095</formula>
    </cfRule>
  </conditionalFormatting>
  <conditionalFormatting sqref="C50:L73 C29:L48">
    <cfRule type="cellIs" dxfId="13" priority="36" stopIfTrue="1" operator="equal">
      <formula>"N/A"</formula>
    </cfRule>
  </conditionalFormatting>
  <conditionalFormatting sqref="C72:L72">
    <cfRule type="containsBlanks" priority="1" stopIfTrue="1">
      <formula>LEN(TRIM(C72))=0</formula>
    </cfRule>
    <cfRule type="cellIs" dxfId="12" priority="2" stopIfTrue="1" operator="lessThan">
      <formula>TODAY()-1095</formula>
    </cfRule>
    <cfRule type="cellIs" dxfId="11" priority="3" stopIfTrue="1" operator="greaterThan">
      <formula>TODAY()-730</formula>
    </cfRule>
    <cfRule type="cellIs" dxfId="10" priority="4" stopIfTrue="1" operator="between">
      <formula>TODAY()-730</formula>
      <formula>TODAY()-1095</formula>
    </cfRule>
  </conditionalFormatting>
  <conditionalFormatting sqref="C73:L73">
    <cfRule type="cellIs" dxfId="9" priority="57" stopIfTrue="1" operator="between">
      <formula>TODAY()-730</formula>
      <formula>TODAY()-1095</formula>
    </cfRule>
    <cfRule type="containsBlanks" priority="54" stopIfTrue="1">
      <formula>LEN(TRIM(C73))=0</formula>
    </cfRule>
    <cfRule type="cellIs" dxfId="8" priority="55" stopIfTrue="1" operator="lessThan">
      <formula>TODAY()-1095</formula>
    </cfRule>
    <cfRule type="cellIs" dxfId="7" priority="56" stopIfTrue="1" operator="greaterThan">
      <formula>TODAY()-730</formula>
    </cfRule>
  </conditionalFormatting>
  <conditionalFormatting sqref="N10:N15">
    <cfRule type="expression" dxfId="6" priority="28" stopIfTrue="1">
      <formula>M10&gt;0</formula>
    </cfRule>
  </conditionalFormatting>
  <conditionalFormatting sqref="N17:N20">
    <cfRule type="expression" dxfId="5" priority="26" stopIfTrue="1">
      <formula>M17&gt;0</formula>
    </cfRule>
  </conditionalFormatting>
  <conditionalFormatting sqref="N22">
    <cfRule type="expression" dxfId="4" priority="31" stopIfTrue="1">
      <formula>M22&gt;0</formula>
    </cfRule>
  </conditionalFormatting>
  <conditionalFormatting sqref="N24:N27">
    <cfRule type="expression" dxfId="3" priority="91" stopIfTrue="1">
      <formula>M24&gt;0</formula>
    </cfRule>
  </conditionalFormatting>
  <conditionalFormatting sqref="N29:N35">
    <cfRule type="expression" dxfId="2" priority="108" stopIfTrue="1">
      <formula>M29&gt;0</formula>
    </cfRule>
  </conditionalFormatting>
  <conditionalFormatting sqref="N37:N44">
    <cfRule type="expression" dxfId="1" priority="189" stopIfTrue="1">
      <formula>M37&gt;0</formula>
    </cfRule>
  </conditionalFormatting>
  <conditionalFormatting sqref="N47:N73">
    <cfRule type="expression" dxfId="0" priority="176" stopIfTrue="1">
      <formula>M47&gt;0</formula>
    </cfRule>
  </conditionalFormatting>
  <dataValidations count="6">
    <dataValidation type="list" allowBlank="1" showInputMessage="1" showErrorMessage="1" sqref="C15:L15 C20:L20 C11:L12" xr:uid="{AB4CDE8D-E5DC-479A-B1CF-C294AAE10445}">
      <formula1>"Y,N"</formula1>
    </dataValidation>
    <dataValidation type="date" allowBlank="1" showInputMessage="1" showErrorMessage="1" sqref="C29:L48 C18:L18 C26:L26 C50:L73" xr:uid="{D970AE7F-3EF8-4411-B5EB-AF374B234D59}">
      <formula1>36526</formula1>
      <formula2>117610</formula2>
    </dataValidation>
    <dataValidation type="list" allowBlank="1" showInputMessage="1" showErrorMessage="1" sqref="C27:L27 C19:L19 C22:L22 C17:L17 C13:L14 C24:L25" xr:uid="{8E6C0A32-4FB9-42DD-B8A8-18CFD552C3FA}">
      <formula1>Response</formula1>
    </dataValidation>
    <dataValidation allowBlank="1" showInputMessage="1" showErrorMessage="1" sqref="N47:N74 N37:N44 N17:N20 N10:N15 N22 N24:N35" xr:uid="{BC6984FB-3678-4EFD-9244-C89F40E0115B}"/>
    <dataValidation type="list" allowBlank="1" showInputMessage="1" showErrorMessage="1" sqref="C10:L10" xr:uid="{E10DE028-5762-4066-9735-38D95793C695}">
      <formula1>"Y,N, NA"</formula1>
    </dataValidation>
    <dataValidation type="list" allowBlank="1" showInputMessage="1" showErrorMessage="1" sqref="C7:L7" xr:uid="{E5D45FA7-39FE-4F97-B4B7-4D4BB7476752}">
      <formula1>"AE,CDL,CSR,CSR SUP,CST,DM,LIAISON,LCM,LOC SUP,LSM,PAP SPECISLIST,PST,RN,RT,WHSE SUP, "</formula1>
    </dataValidation>
  </dataValidations>
  <pageMargins left="0.6" right="0.65" top="0.6" bottom="0.65" header="0.3" footer="0.3"/>
  <pageSetup scale="50" fitToHeight="0" orientation="landscape" r:id="rId1"/>
  <headerFooter>
    <oddFooter>&amp;LJC 427 Personnel Records Review&amp;CPage 1&amp;RREV 2026.01.05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13DE-1370-44F5-BDFB-FA1A23AFF883}">
  <sheetPr codeName="Sheet3">
    <tabColor indexed="16"/>
  </sheetPr>
  <dimension ref="A1:B11"/>
  <sheetViews>
    <sheetView workbookViewId="0">
      <selection activeCell="D11" sqref="D11"/>
    </sheetView>
  </sheetViews>
  <sheetFormatPr defaultRowHeight="11.25" x14ac:dyDescent="0.2"/>
  <cols>
    <col min="1" max="1" width="14.85546875" style="1" bestFit="1" customWidth="1"/>
    <col min="2" max="16384" width="9.140625" style="1"/>
  </cols>
  <sheetData>
    <row r="1" spans="1:2" ht="12" thickBot="1" x14ac:dyDescent="0.25">
      <c r="A1" s="8" t="s">
        <v>8</v>
      </c>
      <c r="B1" s="2" t="s">
        <v>13</v>
      </c>
    </row>
    <row r="2" spans="1:2" x14ac:dyDescent="0.2">
      <c r="A2" s="3" t="s">
        <v>11</v>
      </c>
      <c r="B2" s="5" t="s">
        <v>14</v>
      </c>
    </row>
    <row r="3" spans="1:2" x14ac:dyDescent="0.2">
      <c r="A3" s="3" t="s">
        <v>9</v>
      </c>
      <c r="B3" s="6" t="s">
        <v>15</v>
      </c>
    </row>
    <row r="4" spans="1:2" ht="12" thickBot="1" x14ac:dyDescent="0.25">
      <c r="A4" s="3" t="s">
        <v>24</v>
      </c>
      <c r="B4" s="7" t="s">
        <v>16</v>
      </c>
    </row>
    <row r="5" spans="1:2" x14ac:dyDescent="0.2">
      <c r="A5" s="3" t="s">
        <v>34</v>
      </c>
    </row>
    <row r="6" spans="1:2" x14ac:dyDescent="0.2">
      <c r="A6" s="3" t="s">
        <v>33</v>
      </c>
    </row>
    <row r="7" spans="1:2" x14ac:dyDescent="0.2">
      <c r="A7" s="3" t="s">
        <v>10</v>
      </c>
    </row>
    <row r="8" spans="1:2" x14ac:dyDescent="0.2">
      <c r="A8" s="3" t="s">
        <v>2</v>
      </c>
    </row>
    <row r="9" spans="1:2" x14ac:dyDescent="0.2">
      <c r="A9" s="3" t="s">
        <v>12</v>
      </c>
    </row>
    <row r="10" spans="1:2" x14ac:dyDescent="0.2">
      <c r="A10" s="3"/>
    </row>
    <row r="11" spans="1:2" ht="12" thickBot="1" x14ac:dyDescent="0.25">
      <c r="A11" s="4"/>
    </row>
  </sheetData>
  <sheetProtection sheet="1" objects="1" scenarios="1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9BBC4A75C07468C0EA4090C3C84F4" ma:contentTypeVersion="16" ma:contentTypeDescription="Create a new document." ma:contentTypeScope="" ma:versionID="ea06978b93c701debdeb7e2e95628454">
  <xsd:schema xmlns:xsd="http://www.w3.org/2001/XMLSchema" xmlns:xs="http://www.w3.org/2001/XMLSchema" xmlns:p="http://schemas.microsoft.com/office/2006/metadata/properties" xmlns:ns3="f85b92d9-249b-4929-a941-4987f30aebee" xmlns:ns4="5fb84c72-2437-4bb7-aca5-1ca5798d2fc3" targetNamespace="http://schemas.microsoft.com/office/2006/metadata/properties" ma:root="true" ma:fieldsID="3dbca9f18bfb632cf54c69ea6db71197" ns3:_="" ns4:_="">
    <xsd:import namespace="f85b92d9-249b-4929-a941-4987f30aebee"/>
    <xsd:import namespace="5fb84c72-2437-4bb7-aca5-1ca5798d2f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b92d9-249b-4929-a941-4987f30ae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84c72-2437-4bb7-aca5-1ca5798d2fc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5b92d9-249b-4929-a941-4987f30aebee" xsi:nil="true"/>
  </documentManagement>
</p:properties>
</file>

<file path=customXml/itemProps1.xml><?xml version="1.0" encoding="utf-8"?>
<ds:datastoreItem xmlns:ds="http://schemas.openxmlformats.org/officeDocument/2006/customXml" ds:itemID="{39FC24FB-F306-482B-8EB3-0CAE10DDAF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b92d9-249b-4929-a941-4987f30aebee"/>
    <ds:schemaRef ds:uri="5fb84c72-2437-4bb7-aca5-1ca5798d2f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73B855-DA10-4ED2-B1D9-E74BAEB6FF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092834-EEF3-40DF-83B2-2086E5F56F9D}">
  <ds:schemaRefs>
    <ds:schemaRef ds:uri="http://schemas.microsoft.com/office/2006/metadata/properties"/>
    <ds:schemaRef ds:uri="http://schemas.microsoft.com/office/infopath/2007/PartnerControls"/>
    <ds:schemaRef ds:uri="f85b92d9-249b-4929-a941-4987f30aeb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Instructions</vt:lpstr>
      <vt:lpstr>JC427 Personnel Records Review</vt:lpstr>
      <vt:lpstr>Additional Page - 2</vt:lpstr>
      <vt:lpstr>Additional Page - 3</vt:lpstr>
      <vt:lpstr>Additional Page - 4</vt:lpstr>
      <vt:lpstr>Formula</vt:lpstr>
      <vt:lpstr>Job_Descriptions</vt:lpstr>
      <vt:lpstr>'JC427 Personnel Records Review'!Print_Area</vt:lpstr>
      <vt:lpstr>'Additional Page - 2'!Print_Titles</vt:lpstr>
      <vt:lpstr>'Additional Page - 3'!Print_Titles</vt:lpstr>
      <vt:lpstr>'Additional Page - 4'!Print_Titles</vt:lpstr>
      <vt:lpstr>'JC427 Personnel Records Review'!Print_Titles</vt:lpstr>
      <vt:lpstr>Response</vt:lpstr>
    </vt:vector>
  </TitlesOfParts>
  <Company>Rotech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Personnel File Audit</dc:title>
  <dc:subject>JC 427</dc:subject>
  <dc:creator>JCAHO</dc:creator>
  <dc:description>Rev. 1/2007</dc:description>
  <cp:lastModifiedBy>Cody Landtroop</cp:lastModifiedBy>
  <cp:lastPrinted>2026-07-20T19:10:13Z</cp:lastPrinted>
  <dcterms:created xsi:type="dcterms:W3CDTF">2006-11-29T14:17:27Z</dcterms:created>
  <dcterms:modified xsi:type="dcterms:W3CDTF">2026-07-20T20:46:09Z</dcterms:modified>
  <cp:category>Forms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959417154</vt:i4>
  </property>
  <property fmtid="{D5CDD505-2E9C-101B-9397-08002B2CF9AE}" pid="3" name="_NewReviewCycle">
    <vt:lpwstr/>
  </property>
  <property fmtid="{D5CDD505-2E9C-101B-9397-08002B2CF9AE}" pid="4" name="_EmailSubject">
    <vt:lpwstr>JCAHO forms</vt:lpwstr>
  </property>
  <property fmtid="{D5CDD505-2E9C-101B-9397-08002B2CF9AE}" pid="5" name="_AuthorEmail">
    <vt:lpwstr>jmccurry@rotech.com</vt:lpwstr>
  </property>
  <property fmtid="{D5CDD505-2E9C-101B-9397-08002B2CF9AE}" pid="6" name="_AuthorEmailDisplayName">
    <vt:lpwstr>Jamie McCurry</vt:lpwstr>
  </property>
  <property fmtid="{D5CDD505-2E9C-101B-9397-08002B2CF9AE}" pid="7" name="_ReviewingToolsShownOnce">
    <vt:lpwstr/>
  </property>
  <property fmtid="{D5CDD505-2E9C-101B-9397-08002B2CF9AE}" pid="8" name="ContentTypeId">
    <vt:lpwstr>0x0101003599BBC4A75C07468C0EA4090C3C84F4</vt:lpwstr>
  </property>
</Properties>
</file>